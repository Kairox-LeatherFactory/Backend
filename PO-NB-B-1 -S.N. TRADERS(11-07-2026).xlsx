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/>
  <xr:revisionPtr revIDLastSave="0" documentId="13_ncr:1_{3BFC573A-4EAF-472B-B0B7-9EFB64848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  <sheet name="Sheet1" sheetId="2" r:id="rId2"/>
    <sheet name="Sheet2" sheetId="3" r:id="rId3"/>
  </sheets>
  <definedNames>
    <definedName name="ColumnTitle1">SimpleInvoice[[#Headers],[Item '#]]</definedName>
    <definedName name="company_name">Invoice!$B$2</definedName>
    <definedName name="_xlnm.Print_Area" localSheetId="0">Invoice!$B$1:$G$27</definedName>
    <definedName name="_xlnm.Print_Titles" localSheetId="0">Invoice!$6:$6</definedName>
    <definedName name="RowTitleRegion1..C7">Invoice!$B$3</definedName>
    <definedName name="RowTitleRegion2..G5">Invoice!$F$3</definedName>
    <definedName name="RowTitleRegion3..G26">Invoice!$F$19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1" i="1"/>
  <c r="G20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</calcChain>
</file>

<file path=xl/sharedStrings.xml><?xml version="1.0" encoding="utf-8"?>
<sst xmlns="http://schemas.openxmlformats.org/spreadsheetml/2006/main" count="55" uniqueCount="41">
  <si>
    <t>TOTAL</t>
  </si>
  <si>
    <t>Description</t>
  </si>
  <si>
    <t>Address:</t>
  </si>
  <si>
    <t>Invoice Subtotal</t>
  </si>
  <si>
    <t>Price</t>
  </si>
  <si>
    <t>Unit Price</t>
  </si>
  <si>
    <t>Item #</t>
  </si>
  <si>
    <t>Purchase Order</t>
  </si>
  <si>
    <t xml:space="preserve">Other </t>
  </si>
  <si>
    <t xml:space="preserve">Colour </t>
  </si>
  <si>
    <t>Authorised Signatory</t>
  </si>
  <si>
    <t>For Pakkar Tanveer Exports</t>
  </si>
  <si>
    <t xml:space="preserve">Receiver Authorised Signatory </t>
  </si>
  <si>
    <t xml:space="preserve">Bill To:             </t>
  </si>
  <si>
    <t>PCS</t>
  </si>
  <si>
    <t xml:space="preserve">ART NO : 5009 - TKT : 30                                             Shade : tabac - 83853 </t>
  </si>
  <si>
    <t>Cone</t>
  </si>
  <si>
    <t xml:space="preserve">ART NO : 5036 - TKT : 60                                            Shade : tabac - 83853 </t>
  </si>
  <si>
    <t>Box</t>
  </si>
  <si>
    <t xml:space="preserve">ART NO : 5038 - TKT : 80 Lining Thread Shade : tabac - 83853 </t>
  </si>
  <si>
    <t xml:space="preserve">ART NO : 5009 - TKT : 30                                             Shade : Navy-974 </t>
  </si>
  <si>
    <t xml:space="preserve">ART NO : 5036 - TKT : 60                                            Shade : Navy-974 </t>
  </si>
  <si>
    <t xml:space="preserve">ART NO : 5038 - TKT : 80 Lining Thread Shade : Navy-974 </t>
  </si>
  <si>
    <t>ART NO : 5009 - TKT : 30                                             Shade : khaki- 8031</t>
  </si>
  <si>
    <t>ART NO : 5036 - TKT : 60                                            Shade : khaki- 8031</t>
  </si>
  <si>
    <t>ART NO : 5038 - TKT : 80 Lining Thread Shade : khaki- 8031</t>
  </si>
  <si>
    <t xml:space="preserve">S.N. TRADERS </t>
  </si>
  <si>
    <t>#25, Rathinam Street, North gopalapuram, Chennai.</t>
  </si>
  <si>
    <t xml:space="preserve">GSTIN  :   33BESPP0802G1ZM </t>
  </si>
  <si>
    <t>Email:  serveshranganathan@gmail.com</t>
  </si>
  <si>
    <t>Phone:    +91 9176006243</t>
  </si>
  <si>
    <t>NAVY</t>
  </si>
  <si>
    <t>Import Duty/Tax Payment Receipt</t>
  </si>
  <si>
    <t>Date :  11-07-2026</t>
  </si>
  <si>
    <t xml:space="preserve">P/O Invoice #  :NP-B-1 </t>
  </si>
  <si>
    <t xml:space="preserve">TAUPE </t>
  </si>
  <si>
    <t>ART NO : 5009 - TKT : 30                                             Shade : TAUPE  - 985</t>
  </si>
  <si>
    <t>ART NO : 5036 - TKT : 60                                            Shade : TAUPE - 985</t>
  </si>
  <si>
    <t>ART NO : 5038 - TKT : 80 Lining Thread Shade : TAUPE - 985</t>
  </si>
  <si>
    <t xml:space="preserve">CGST 2.5% </t>
  </si>
  <si>
    <t xml:space="preserve">SGST  2.5%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</si>
</sst>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#_)"/>
    <numFmt numFmtId="166" formatCode="[&lt;=9999999]###\-####;\(###\)\ ###\-####"/>
    <numFmt numFmtId="167" formatCode="_([$INR]\ * #,##0.00_);_([$INR]\ * \(#,##0.00\);_([$INR]\ * &quot;-&quot;??_);_(@_)"/>
  </numFmts>
  <fonts count="24" x14ac:knownFonts="1">
    <font>
      <sz val="11"/>
      <color theme="2" tint="-0.749961851863155"/>
      <name val="Calibri"/>
      <family val="2"/>
      <scheme val="minor"/>
    </font>
    <font>
      <b/>
      <sz val="10"/>
      <name val="Arial"/>
      <family val="2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2" tint="-0.749961851863155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36"/>
      <name val="Calibri"/>
      <family val="2"/>
      <scheme val="minor"/>
    </font>
    <font>
      <sz val="11"/>
      <name val="Arial"/>
      <family val="2"/>
      <scheme val="maj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5" fillId="0" borderId="0" applyNumberFormat="0" applyFill="0" applyBorder="0" applyAlignment="0" applyProtection="0"/>
    <xf numFmtId="0" fontId="10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horizontal="left" vertical="center" indent="1"/>
    </xf>
    <xf numFmtId="10" fontId="12" fillId="0" borderId="0" applyFill="0" applyBorder="0" applyProtection="0">
      <alignment horizontal="right" vertical="center"/>
    </xf>
    <xf numFmtId="0" fontId="5" fillId="0" borderId="0" applyNumberFormat="0" applyFill="0" applyBorder="0" applyAlignment="0" applyProtection="0">
      <alignment vertical="top" wrapText="1"/>
    </xf>
    <xf numFmtId="0" fontId="4" fillId="3" borderId="2" applyProtection="0">
      <alignment vertical="center"/>
    </xf>
    <xf numFmtId="0" fontId="5" fillId="2" borderId="0" applyNumberFormat="0" applyBorder="0" applyProtection="0">
      <alignment vertical="center" wrapText="1"/>
    </xf>
    <xf numFmtId="0" fontId="13" fillId="0" borderId="1" applyFill="0" applyProtection="0">
      <alignment horizontal="right" vertical="center" indent="1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1" applyNumberFormat="0" applyAlignment="0" applyProtection="0"/>
    <xf numFmtId="0" fontId="5" fillId="5" borderId="0" applyBorder="0" applyProtection="0">
      <alignment horizontal="left" indent="1"/>
    </xf>
    <xf numFmtId="164" fontId="11" fillId="0" borderId="0" applyFont="0" applyFill="0" applyBorder="0" applyProtection="0">
      <alignment horizontal="right" vertical="center"/>
    </xf>
    <xf numFmtId="164" fontId="12" fillId="0" borderId="0" applyFill="0" applyBorder="0" applyProtection="0">
      <alignment horizontal="right" vertical="center"/>
    </xf>
    <xf numFmtId="0" fontId="14" fillId="4" borderId="0" applyNumberFormat="0" applyBorder="0" applyProtection="0">
      <alignment horizontal="left" vertical="top" wrapText="1" indent="1"/>
    </xf>
    <xf numFmtId="166" fontId="5" fillId="0" borderId="0" applyFont="0" applyFill="0" applyBorder="0" applyAlignment="0">
      <alignment vertical="center"/>
    </xf>
    <xf numFmtId="165" fontId="11" fillId="0" borderId="0" applyFont="0" applyFill="0" applyBorder="0">
      <alignment horizontal="right" vertical="center"/>
    </xf>
    <xf numFmtId="14" fontId="9" fillId="0" borderId="0" applyFont="0" applyFill="0" applyBorder="0" applyAlignment="0" applyProtection="0">
      <alignment horizontal="left" wrapText="1"/>
    </xf>
  </cellStyleXfs>
  <cellXfs count="85">
    <xf numFmtId="0" fontId="0" fillId="0" borderId="0" xfId="0">
      <alignment horizontal="left" vertical="center" wrapText="1" indent="1"/>
    </xf>
    <xf numFmtId="0" fontId="0" fillId="6" borderId="0" xfId="0" applyFill="1">
      <alignment horizontal="left" vertical="center" wrapText="1" indent="1"/>
    </xf>
    <xf numFmtId="0" fontId="13" fillId="0" borderId="0" xfId="0" applyFont="1" applyBorder="1">
      <alignment horizontal="left" vertical="center" wrapText="1" indent="1"/>
    </xf>
    <xf numFmtId="0" fontId="13" fillId="7" borderId="3" xfId="0" applyFont="1" applyFill="1" applyBorder="1">
      <alignment horizontal="left" vertical="center" wrapText="1" indent="1"/>
    </xf>
    <xf numFmtId="0" fontId="13" fillId="0" borderId="3" xfId="0" applyFont="1" applyFill="1" applyBorder="1">
      <alignment horizontal="left" vertical="center" wrapText="1" indent="1"/>
    </xf>
    <xf numFmtId="165" fontId="13" fillId="0" borderId="3" xfId="17" applyFont="1" applyFill="1" applyBorder="1">
      <alignment horizontal="right" vertical="center"/>
    </xf>
    <xf numFmtId="164" fontId="13" fillId="0" borderId="3" xfId="13" applyFont="1" applyFill="1" applyBorder="1" applyAlignment="1" applyProtection="1">
      <alignment horizontal="center" vertical="center"/>
    </xf>
    <xf numFmtId="167" fontId="13" fillId="7" borderId="3" xfId="13" applyNumberFormat="1" applyFont="1" applyFill="1" applyBorder="1" applyAlignment="1" applyProtection="1">
      <alignment horizontal="center" vertical="center"/>
    </xf>
    <xf numFmtId="164" fontId="13" fillId="7" borderId="3" xfId="13" applyFont="1" applyFill="1" applyBorder="1">
      <alignment horizontal="right" vertical="center"/>
    </xf>
    <xf numFmtId="0" fontId="13" fillId="0" borderId="11" xfId="0" applyFont="1" applyBorder="1">
      <alignment horizontal="left" vertical="center" wrapText="1" indent="1"/>
    </xf>
    <xf numFmtId="167" fontId="13" fillId="7" borderId="10" xfId="13" applyNumberFormat="1" applyFont="1" applyFill="1" applyBorder="1" applyAlignment="1">
      <alignment horizontal="center" vertical="center"/>
    </xf>
    <xf numFmtId="0" fontId="13" fillId="0" borderId="1" xfId="8" applyFill="1">
      <alignment horizontal="right" vertical="center" indent="1"/>
    </xf>
    <xf numFmtId="167" fontId="13" fillId="0" borderId="10" xfId="13" applyNumberFormat="1" applyFont="1" applyFill="1" applyBorder="1" applyAlignment="1">
      <alignment horizontal="center" vertical="center"/>
    </xf>
    <xf numFmtId="167" fontId="13" fillId="0" borderId="15" xfId="13" applyNumberFormat="1" applyFont="1" applyFill="1" applyBorder="1">
      <alignment horizontal="right" vertical="center"/>
    </xf>
    <xf numFmtId="167" fontId="13" fillId="0" borderId="16" xfId="13" applyNumberFormat="1" applyFont="1" applyFill="1" applyBorder="1" applyAlignment="1">
      <alignment horizontal="center" vertical="center"/>
    </xf>
    <xf numFmtId="165" fontId="13" fillId="7" borderId="3" xfId="17" applyFont="1" applyFill="1" applyBorder="1" applyAlignment="1">
      <alignment horizontal="center" vertical="center"/>
    </xf>
    <xf numFmtId="165" fontId="13" fillId="0" borderId="3" xfId="17" applyFont="1" applyFill="1" applyBorder="1" applyAlignment="1">
      <alignment horizontal="center" vertical="center"/>
    </xf>
    <xf numFmtId="0" fontId="13" fillId="6" borderId="0" xfId="15" applyFont="1" applyFill="1" applyBorder="1">
      <alignment horizontal="left" vertical="top" wrapText="1" indent="1"/>
    </xf>
    <xf numFmtId="167" fontId="13" fillId="0" borderId="0" xfId="13" applyNumberFormat="1" applyFont="1" applyFill="1" applyBorder="1">
      <alignment horizontal="right" vertical="center"/>
    </xf>
    <xf numFmtId="167" fontId="13" fillId="0" borderId="0" xfId="13" applyNumberFormat="1" applyFont="1" applyFill="1" applyBorder="1" applyAlignment="1">
      <alignment horizontal="center" vertical="center"/>
    </xf>
    <xf numFmtId="39" fontId="13" fillId="7" borderId="4" xfId="13" applyNumberFormat="1" applyFont="1" applyFill="1" applyBorder="1" applyAlignment="1" applyProtection="1">
      <alignment horizontal="center" vertical="center"/>
    </xf>
    <xf numFmtId="0" fontId="18" fillId="0" borderId="7" xfId="0" applyFont="1" applyBorder="1">
      <alignment horizontal="left" vertical="center" wrapText="1" indent="1"/>
    </xf>
    <xf numFmtId="0" fontId="18" fillId="0" borderId="8" xfId="0" applyFont="1" applyBorder="1">
      <alignment horizontal="left" vertical="center" wrapText="1" indent="1"/>
    </xf>
    <xf numFmtId="0" fontId="18" fillId="0" borderId="11" xfId="0" applyFont="1" applyBorder="1">
      <alignment horizontal="left" vertical="center" wrapText="1" indent="1"/>
    </xf>
    <xf numFmtId="0" fontId="18" fillId="0" borderId="0" xfId="0" applyFont="1" applyBorder="1">
      <alignment horizontal="left" vertical="center" wrapText="1" indent="1"/>
    </xf>
    <xf numFmtId="0" fontId="18" fillId="0" borderId="17" xfId="0" applyFont="1" applyBorder="1">
      <alignment horizontal="left" vertical="center" wrapText="1" indent="1"/>
    </xf>
    <xf numFmtId="0" fontId="18" fillId="0" borderId="13" xfId="0" applyFont="1" applyBorder="1">
      <alignment horizontal="left" vertical="center" wrapText="1" indent="1"/>
    </xf>
    <xf numFmtId="0" fontId="17" fillId="0" borderId="0" xfId="3" applyFont="1" applyFill="1" applyBorder="1" applyAlignment="1">
      <alignment horizontal="center" vertical="center"/>
    </xf>
    <xf numFmtId="165" fontId="17" fillId="0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Fill="1" applyBorder="1" applyAlignment="1" applyProtection="1">
      <alignment horizontal="center" vertical="center"/>
    </xf>
    <xf numFmtId="0" fontId="16" fillId="0" borderId="0" xfId="0" applyFont="1" applyBorder="1" applyAlignment="1">
      <alignment horizontal="left"/>
    </xf>
    <xf numFmtId="0" fontId="4" fillId="8" borderId="19" xfId="6" applyFill="1" applyBorder="1" applyAlignment="1" applyProtection="1">
      <alignment horizontal="left" vertical="center" indent="2"/>
    </xf>
    <xf numFmtId="0" fontId="4" fillId="8" borderId="6" xfId="6" applyFill="1" applyBorder="1" applyAlignment="1" applyProtection="1">
      <alignment horizontal="left" vertical="center" indent="2"/>
    </xf>
    <xf numFmtId="0" fontId="4" fillId="8" borderId="6" xfId="6" applyFill="1" applyBorder="1" applyProtection="1">
      <alignment vertical="center"/>
    </xf>
    <xf numFmtId="0" fontId="4" fillId="8" borderId="6" xfId="6" applyFill="1" applyBorder="1" applyAlignment="1" applyProtection="1">
      <alignment vertical="top" wrapText="1"/>
    </xf>
    <xf numFmtId="0" fontId="16" fillId="0" borderId="7" xfId="2" applyFont="1" applyBorder="1" applyAlignment="1" applyProtection="1"/>
    <xf numFmtId="0" fontId="20" fillId="0" borderId="8" xfId="0" applyFont="1" applyBorder="1" applyAlignment="1"/>
    <xf numFmtId="0" fontId="16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 wrapText="1"/>
    </xf>
    <xf numFmtId="14" fontId="13" fillId="0" borderId="17" xfId="18" applyFont="1" applyBorder="1" applyAlignment="1">
      <alignment horizontal="left" wrapText="1"/>
    </xf>
    <xf numFmtId="0" fontId="13" fillId="0" borderId="0" xfId="0" applyFont="1" applyBorder="1" applyAlignment="1">
      <alignment wrapText="1"/>
    </xf>
    <xf numFmtId="0" fontId="2" fillId="0" borderId="17" xfId="0" applyFont="1" applyBorder="1" applyAlignment="1">
      <alignment wrapText="1"/>
    </xf>
    <xf numFmtId="164" fontId="13" fillId="7" borderId="21" xfId="13" applyFont="1" applyFill="1" applyBorder="1" applyAlignment="1">
      <alignment horizontal="center" vertical="center"/>
    </xf>
    <xf numFmtId="167" fontId="13" fillId="7" borderId="22" xfId="13" applyNumberFormat="1" applyFont="1" applyFill="1" applyBorder="1" applyAlignment="1">
      <alignment horizontal="center" vertical="center"/>
    </xf>
    <xf numFmtId="0" fontId="13" fillId="7" borderId="5" xfId="0" applyFont="1" applyFill="1" applyBorder="1">
      <alignment horizontal="left" vertical="center" wrapText="1" indent="1"/>
    </xf>
    <xf numFmtId="167" fontId="13" fillId="7" borderId="4" xfId="13" applyNumberFormat="1" applyFont="1" applyFill="1" applyBorder="1" applyAlignment="1" applyProtection="1">
      <alignment horizontal="center" vertical="center"/>
    </xf>
    <xf numFmtId="0" fontId="13" fillId="0" borderId="5" xfId="0" applyFont="1" applyFill="1" applyBorder="1">
      <alignment horizontal="left" vertical="center" wrapText="1" indent="1"/>
    </xf>
    <xf numFmtId="167" fontId="13" fillId="0" borderId="4" xfId="13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>
      <alignment horizontal="left" vertical="center" wrapText="1" indent="1"/>
    </xf>
    <xf numFmtId="0" fontId="13" fillId="0" borderId="23" xfId="0" applyFont="1" applyFill="1" applyBorder="1">
      <alignment horizontal="left" vertical="center" wrapText="1" indent="1"/>
    </xf>
    <xf numFmtId="165" fontId="13" fillId="0" borderId="23" xfId="17" applyFont="1" applyFill="1" applyBorder="1">
      <alignment horizontal="right" vertical="center"/>
    </xf>
    <xf numFmtId="164" fontId="13" fillId="0" borderId="23" xfId="13" applyFont="1" applyFill="1" applyBorder="1" applyAlignment="1" applyProtection="1">
      <alignment horizontal="center" vertical="center"/>
    </xf>
    <xf numFmtId="167" fontId="13" fillId="0" borderId="19" xfId="13" applyNumberFormat="1" applyFont="1" applyFill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3" fillId="7" borderId="5" xfId="0" applyFont="1" applyFill="1" applyBorder="1">
      <alignment horizontal="left" vertical="center" wrapText="1" indent="1"/>
    </xf>
    <xf numFmtId="165" fontId="23" fillId="7" borderId="3" xfId="17" applyFont="1" applyFill="1" applyBorder="1" applyAlignment="1">
      <alignment horizontal="center" vertical="center"/>
    </xf>
    <xf numFmtId="167" fontId="23" fillId="7" borderId="3" xfId="13" applyNumberFormat="1" applyFont="1" applyFill="1" applyBorder="1" applyAlignment="1" applyProtection="1">
      <alignment horizontal="center" vertical="center"/>
    </xf>
    <xf numFmtId="167" fontId="13" fillId="6" borderId="3" xfId="13" applyNumberFormat="1" applyFont="1" applyFill="1" applyBorder="1" applyAlignment="1" applyProtection="1">
      <alignment horizontal="center" vertical="center"/>
    </xf>
    <xf numFmtId="39" fontId="13" fillId="6" borderId="4" xfId="13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0" fillId="0" borderId="13" xfId="0" applyFont="1" applyBorder="1" applyAlignment="1">
      <alignment horizontal="right" vertical="center" wrapText="1" indent="1"/>
    </xf>
    <xf numFmtId="0" fontId="20" fillId="0" borderId="18" xfId="0" applyFont="1" applyBorder="1" applyAlignment="1">
      <alignment horizontal="right" vertical="center" wrapText="1" inden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right" vertical="center" wrapText="1"/>
    </xf>
    <xf numFmtId="0" fontId="19" fillId="0" borderId="13" xfId="0" applyFont="1" applyBorder="1" applyAlignment="1">
      <alignment horizontal="right" vertical="center" wrapText="1"/>
    </xf>
    <xf numFmtId="0" fontId="13" fillId="6" borderId="12" xfId="15" applyFont="1" applyFill="1" applyBorder="1">
      <alignment horizontal="left" vertical="top" wrapText="1" indent="1"/>
    </xf>
    <xf numFmtId="0" fontId="13" fillId="6" borderId="13" xfId="15" applyFont="1" applyFill="1" applyBorder="1">
      <alignment horizontal="left" vertical="top" wrapText="1" indent="1"/>
    </xf>
    <xf numFmtId="0" fontId="13" fillId="6" borderId="14" xfId="15" applyFont="1" applyFill="1" applyBorder="1">
      <alignment horizontal="left" vertical="top" wrapText="1" indent="1"/>
    </xf>
    <xf numFmtId="166" fontId="16" fillId="0" borderId="0" xfId="2" applyNumberFormat="1" applyFont="1" applyBorder="1" applyAlignment="1"/>
    <xf numFmtId="0" fontId="16" fillId="0" borderId="0" xfId="2" applyFont="1" applyBorder="1" applyAlignment="1" applyProtection="1"/>
    <xf numFmtId="0" fontId="13" fillId="0" borderId="0" xfId="0" applyFont="1" applyBorder="1" applyAlignment="1">
      <alignment horizontal="left" vertical="center" wrapText="1"/>
    </xf>
    <xf numFmtId="0" fontId="16" fillId="0" borderId="11" xfId="2" applyFont="1" applyBorder="1" applyProtection="1">
      <alignment vertical="center"/>
    </xf>
    <xf numFmtId="166" fontId="16" fillId="0" borderId="8" xfId="2" applyNumberFormat="1" applyFont="1" applyBorder="1" applyAlignment="1"/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</cellXfs>
  <cellStyles count="19">
    <cellStyle name="20% - Accent1" xfId="15" builtinId="30" customBuiltin="1"/>
    <cellStyle name="60% - Accent1" xfId="7" builtinId="32" customBuiltin="1"/>
    <cellStyle name="Currency" xfId="13" builtinId="4" customBuiltin="1"/>
    <cellStyle name="Currency [0]" xfId="14" builtinId="7" customBuiltin="1"/>
    <cellStyle name="Date" xfId="18" xr:uid="{00000000-0005-0000-0000-000004000000}"/>
    <cellStyle name="Explanatory Text" xfId="10" builtinId="53" customBuiltin="1"/>
    <cellStyle name="Followed Hyperlink" xfId="5" builtinId="9" customBuiltin="1"/>
    <cellStyle name="Heading 1" xfId="2" builtinId="16" customBuiltin="1"/>
    <cellStyle name="Heading 2" xfId="3" builtinId="17" customBuiltin="1"/>
    <cellStyle name="Heading 3" xfId="8" builtinId="18" customBuiltin="1"/>
    <cellStyle name="Heading 4" xfId="12" builtinId="19" customBuiltin="1"/>
    <cellStyle name="Hyperlink" xfId="1" builtinId="8" customBuiltin="1"/>
    <cellStyle name="Normal" xfId="0" builtinId="0" customBuiltin="1"/>
    <cellStyle name="Percent" xfId="4" builtinId="5" customBuiltin="1"/>
    <cellStyle name="Phone" xfId="16" xr:uid="{00000000-0005-0000-0000-00000E000000}"/>
    <cellStyle name="Quantity" xfId="17" xr:uid="{00000000-0005-0000-0000-00000F000000}"/>
    <cellStyle name="Title" xfId="6" builtinId="15" customBuiltin="1"/>
    <cellStyle name="Total" xfId="11" builtinId="25" customBuiltin="1"/>
    <cellStyle name="Warning Text" xfId="9" builtinId="11" customBuiltin="1"/>
  </cellStyles>
  <dxfs count="16">
    <dxf>
      <font>
        <strike val="0"/>
        <outline val="0"/>
        <shadow val="0"/>
        <u val="none"/>
        <vertAlign val="baseline"/>
        <color auto="1"/>
        <name val="Calibri"/>
        <scheme val="minor"/>
      </font>
      <numFmt numFmtId="167" formatCode="_([$INR]\ * #,##0.00_);_([$INR]\ * \(#,##0.00\);_([$INR]\ * &quot;-&quot;??_);_(@_)"/>
    </dxf>
    <dxf>
      <fill>
        <patternFill>
          <bgColor theme="4" tint="0.79998168889431442"/>
        </patternFill>
      </fill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numFmt numFmtId="168" formatCode="#,##0.00_);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Invoice" defaultPivotStyle="PivotStyleLight16">
    <tableStyle name="Invoice" pivot="0" count="6" xr9:uid="{00000000-0011-0000-FFFF-FFFF00000000}">
      <tableStyleElement type="wholeTable" dxfId="15"/>
      <tableStyleElement type="headerRow" dxfId="14"/>
      <tableStyleElement type="totalRow" dxfId="13"/>
      <tableStyleElement type="lastColumn" dxfId="12"/>
      <tableStyleElement type="firstRowStripe" dxfId="11"/>
      <tableStyleElement type="secondRow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247649</xdr:colOff>
      <xdr:row>1</xdr:row>
      <xdr:rowOff>104774</xdr:rowOff>
    </xdr:from>
    <xdr:to>
      <xdr:col>2</xdr:col>
      <xdr:colOff>2009774</xdr:colOff>
      <xdr:row>1</xdr:row>
      <xdr:rowOff>2095499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4" y="533399"/>
          <a:ext cx="2657475" cy="1990725"/>
        </a:xfrm>
        <a:prstGeom prst="rect">
          <a:avLst/>
        </a:prstGeom>
      </xdr:spPr>
    </xdr:pic>
    <xdr:clientData/>
  </xdr:twoCellAnchor>
  <xdr:twoCellAnchor>
    <xdr:from>
      <xdr:col>2</xdr:col>
      <xdr:colOff>1133475</xdr:colOff>
      <xdr:row>1</xdr:row>
      <xdr:rowOff>628650</xdr:rowOff>
    </xdr:from>
    <xdr:to>
      <xdr:col>6</xdr:col>
      <xdr:colOff>1114425</xdr:colOff>
      <xdr:row>1</xdr:row>
      <xdr:rowOff>2105025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9800" y="1057275"/>
          <a:ext cx="5972175" cy="1476375"/>
        </a:xfrm>
        <a:prstGeom prst="rect">
          <a:avLst/>
        </a:prstGeom>
      </xdr:spPr>
      <xdr:txBody>
        <a:bodyPr wrap="square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>
              <a:solidFill>
                <a:schemeClr val="bg1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            PAKKAR</a:t>
          </a:r>
          <a:r>
            <a:rPr lang="en-US" sz="2000" baseline="0">
              <a:solidFill>
                <a:schemeClr val="bg1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TANVEER EXPORTS</a:t>
          </a:r>
          <a:r>
            <a:rPr lang="en-US" sz="2000">
              <a:solidFill>
                <a:schemeClr val="bg1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                                                                                                                                                            	</a:t>
          </a:r>
          <a:r>
            <a:rPr lang="en-US" sz="1100">
              <a:solidFill>
                <a:schemeClr val="bg1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NO. </a:t>
          </a:r>
          <a:r>
            <a:rPr lang="en-US" sz="1100">
              <a:solidFill>
                <a:schemeClr val="bg1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1 -  Hyder Garden IInd street,Extn., Jamalia,Perambur, Chennai-600 012. </a:t>
          </a:r>
        </a:p>
        <a:p>
          <a:r>
            <a:rPr lang="en-US" sz="1200">
              <a:solidFill>
                <a:schemeClr val="bg1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	Phone  : 044 43326290 --Cell no : +91 9840951767,</a:t>
          </a:r>
          <a:r>
            <a:rPr lang="en-US" sz="1200" baseline="0">
              <a:solidFill>
                <a:schemeClr val="bg1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+91 9840889486</a:t>
          </a:r>
          <a:r>
            <a:rPr lang="en-US" sz="1200">
              <a:solidFill>
                <a:schemeClr val="bg1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  	Email ID : </a:t>
          </a:r>
          <a:r>
            <a:rPr lang="en-IN" sz="1200" u="sng">
              <a:solidFill>
                <a:schemeClr val="bg1"/>
              </a:solidFill>
            </a:rPr>
            <a:t>tanveer@ptexports.com</a:t>
          </a:r>
          <a:r>
            <a:rPr lang="en-IN" sz="1200">
              <a:solidFill>
                <a:schemeClr val="bg1"/>
              </a:solidFill>
            </a:rPr>
            <a:t>  ;</a:t>
          </a:r>
          <a:r>
            <a:rPr lang="en-IN" sz="1200" baseline="0">
              <a:solidFill>
                <a:schemeClr val="bg1"/>
              </a:solidFill>
            </a:rPr>
            <a:t> </a:t>
          </a:r>
          <a:r>
            <a:rPr lang="en-IN" sz="1400" u="sng" kern="1200">
              <a:solidFill>
                <a:schemeClr val="tx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garments@ptexports.com</a:t>
          </a:r>
          <a:r>
            <a:rPr lang="en-IN" sz="1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200">
            <a:solidFill>
              <a:schemeClr val="bg1"/>
            </a:solidFill>
          </a:endParaRPr>
        </a:p>
        <a:p>
          <a:r>
            <a:rPr lang="en-IN" sz="1200">
              <a:solidFill>
                <a:schemeClr val="bg1"/>
              </a:solidFill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	Gst No : 33AAGPA0428C1ZO</a:t>
          </a:r>
          <a:endParaRPr lang="en-US" sz="1200">
            <a:solidFill>
              <a:schemeClr val="bg1"/>
            </a:solidFill>
            <a:effectLst/>
            <a:latin typeface="Arial" panose="020B060402020202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3600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4</xdr:col>
      <xdr:colOff>1238250</xdr:colOff>
      <xdr:row>22</xdr:row>
      <xdr:rowOff>34348</xdr:rowOff>
    </xdr:to>
    <xdr:sp macro="" textlink="">
      <xdr:nvSpPr>
        <xdr:cNvPr id="4" name="Content Placeholder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180975" y="8677275"/>
          <a:ext cx="5495925" cy="1748848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Terms &amp; Conditions</a:t>
          </a:r>
        </a:p>
        <a:p>
          <a:r>
            <a:rPr lang="en-US" sz="1100"/>
            <a:t>Please send 2 copies of your invoice </a:t>
          </a:r>
        </a:p>
        <a:p>
          <a:r>
            <a:rPr lang="en-US" sz="900"/>
            <a:t>Enter this order in accordance with the prices, terms, delivery method and specifications mentioned above</a:t>
          </a:r>
        </a:p>
        <a:p>
          <a:r>
            <a:rPr lang="en-US" sz="1100"/>
            <a:t>Delivery time of goods are been in 10 days from the date of Order</a:t>
          </a:r>
        </a:p>
        <a:p>
          <a:r>
            <a:rPr lang="en-US" sz="1100"/>
            <a:t>Please notify us immediately if you are unable to delivery as specified</a:t>
          </a:r>
        </a:p>
        <a:p>
          <a:r>
            <a:rPr lang="en-US" sz="1100"/>
            <a:t>PAYMENT TERMS - 60 DAYS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impleInvoice" displayName="SimpleInvoice" ref="B6:G18" totalsRowShown="0" headerRowDxfId="9" dataDxfId="8" tableBorderDxfId="7" headerRowCellStyle="Heading 2">
  <autoFilter ref="B6:G18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Item #" dataDxfId="6"/>
    <tableColumn id="2" xr3:uid="{00000000-0010-0000-0000-000002000000}" name="Description" dataDxfId="5"/>
    <tableColumn id="7" xr3:uid="{00000000-0010-0000-0000-000007000000}" name="Colour " dataDxfId="4"/>
    <tableColumn id="8" xr3:uid="{00000000-0010-0000-0000-000008000000}" name="PCS" dataDxfId="3" dataCellStyle="Currency"/>
    <tableColumn id="10" xr3:uid="{00000000-0010-0000-0000-00000A000000}" name="Unit Price" dataDxfId="2"/>
    <tableColumn id="11" xr3:uid="{00000000-0010-0000-0000-00000B000000}" name="Price" dataDxfId="0" dataCellStyle="Currency">
      <calculatedColumnFormula>SimpleInvoice[[#This Row],[PCS]]*SimpleInvoice[[#This Row],[Unit Price]]</calculatedColumnFormula>
    </tableColumn>
  </tableColumns>
  <tableStyleInfo name="Invoice" showFirstColumn="0" showLastColumn="0" showRowStripes="1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 fitToPage="1"/>
  </sheetPr>
  <dimension ref="A1:G27"/>
  <sheetViews>
    <sheetView showGridLines="0" tabSelected="1" zoomScaleNormal="100" workbookViewId="0">
      <selection activeCell="G24" sqref="G24"/>
    </sheetView>
  </sheetViews>
  <sheetFormatPr defaultColWidth="9" defaultRowHeight="33.9" customHeight="1" x14ac:dyDescent="0.3"/>
  <cols>
    <col min="1" max="1" width="2.6640625" customWidth="1"/>
    <col min="2" max="2" width="13.44140625" customWidth="1"/>
    <col min="3" max="3" width="30.6640625" customWidth="1"/>
    <col min="4" max="7" width="19.6640625" customWidth="1"/>
    <col min="8" max="8" width="11.33203125" customWidth="1"/>
    <col min="9" max="9" width="42.77734375" customWidth="1"/>
  </cols>
  <sheetData>
    <row r="1" spans="1:7" ht="33.9" customHeight="1" x14ac:dyDescent="0.3">
      <c r="B1" s="65" t="s">
        <v>7</v>
      </c>
      <c r="C1" s="65"/>
      <c r="D1" s="65"/>
      <c r="E1" s="65"/>
      <c r="F1" s="65"/>
      <c r="G1" s="65"/>
    </row>
    <row r="2" spans="1:7" ht="171.75" customHeight="1" thickBot="1" x14ac:dyDescent="0.35">
      <c r="A2" s="1"/>
      <c r="B2" s="31"/>
      <c r="C2" s="32"/>
      <c r="D2" s="32"/>
      <c r="E2" s="32"/>
      <c r="F2" s="33"/>
      <c r="G2" s="34"/>
    </row>
    <row r="3" spans="1:7" ht="44.25" customHeight="1" x14ac:dyDescent="0.35">
      <c r="B3" s="35" t="s">
        <v>13</v>
      </c>
      <c r="C3" s="36" t="s">
        <v>26</v>
      </c>
      <c r="D3" s="79" t="s">
        <v>30</v>
      </c>
      <c r="E3" s="79"/>
      <c r="F3" s="37" t="s">
        <v>34</v>
      </c>
      <c r="G3" s="38"/>
    </row>
    <row r="4" spans="1:7" ht="47.25" customHeight="1" x14ac:dyDescent="0.3">
      <c r="B4" s="78" t="s">
        <v>2</v>
      </c>
      <c r="C4" s="77" t="s">
        <v>27</v>
      </c>
      <c r="D4" s="75" t="s">
        <v>28</v>
      </c>
      <c r="E4" s="75"/>
      <c r="F4" s="30" t="s">
        <v>33</v>
      </c>
      <c r="G4" s="39"/>
    </row>
    <row r="5" spans="1:7" ht="20.100000000000001" customHeight="1" x14ac:dyDescent="0.3">
      <c r="B5" s="78"/>
      <c r="C5" s="77"/>
      <c r="D5" s="76" t="s">
        <v>29</v>
      </c>
      <c r="E5" s="76"/>
      <c r="F5" s="40"/>
      <c r="G5" s="41"/>
    </row>
    <row r="6" spans="1:7" ht="33.9" customHeight="1" x14ac:dyDescent="0.3">
      <c r="B6" s="27" t="s">
        <v>6</v>
      </c>
      <c r="C6" s="27" t="s">
        <v>1</v>
      </c>
      <c r="D6" s="28" t="s">
        <v>9</v>
      </c>
      <c r="E6" s="29" t="s">
        <v>14</v>
      </c>
      <c r="F6" s="29" t="s">
        <v>5</v>
      </c>
      <c r="G6" s="29" t="s">
        <v>4</v>
      </c>
    </row>
    <row r="7" spans="1:7" ht="33.9" customHeight="1" x14ac:dyDescent="0.3">
      <c r="B7" s="44">
        <v>1</v>
      </c>
      <c r="C7" s="3" t="s">
        <v>36</v>
      </c>
      <c r="D7" s="15" t="s">
        <v>35</v>
      </c>
      <c r="E7" s="20">
        <v>35</v>
      </c>
      <c r="F7" s="7">
        <v>61</v>
      </c>
      <c r="G7" s="45">
        <f>SimpleInvoice[[#This Row],[PCS]]*SimpleInvoice[[#This Row],[Unit Price]]</f>
        <v>2135</v>
      </c>
    </row>
    <row r="8" spans="1:7" ht="33.9" customHeight="1" x14ac:dyDescent="0.3">
      <c r="B8" s="46">
        <v>2</v>
      </c>
      <c r="C8" s="4" t="s">
        <v>37</v>
      </c>
      <c r="D8" s="16" t="s">
        <v>35</v>
      </c>
      <c r="E8" s="64">
        <v>15</v>
      </c>
      <c r="F8" s="63">
        <v>257</v>
      </c>
      <c r="G8" s="47">
        <f>SimpleInvoice[[#This Row],[PCS]]*SimpleInvoice[[#This Row],[Unit Price]]</f>
        <v>3855</v>
      </c>
    </row>
    <row r="9" spans="1:7" ht="33.9" customHeight="1" x14ac:dyDescent="0.3">
      <c r="B9" s="44">
        <v>3</v>
      </c>
      <c r="C9" s="3" t="s">
        <v>38</v>
      </c>
      <c r="D9" s="15" t="s">
        <v>35</v>
      </c>
      <c r="E9" s="20">
        <v>3</v>
      </c>
      <c r="F9" s="7">
        <v>154</v>
      </c>
      <c r="G9" s="45">
        <f>SimpleInvoice[[#This Row],[PCS]]*SimpleInvoice[[#This Row],[Unit Price]]</f>
        <v>462</v>
      </c>
    </row>
    <row r="10" spans="1:7" ht="9" customHeight="1" x14ac:dyDescent="0.3">
      <c r="B10" s="46"/>
      <c r="C10" s="4"/>
      <c r="D10" s="5"/>
      <c r="E10" s="6"/>
      <c r="F10" s="6"/>
      <c r="G10" s="47">
        <f>SimpleInvoice[[#This Row],[PCS]]*SimpleInvoice[[#This Row],[Unit Price]]</f>
        <v>0</v>
      </c>
    </row>
    <row r="11" spans="1:7" ht="33.9" customHeight="1" x14ac:dyDescent="0.3">
      <c r="B11" s="60">
        <v>4</v>
      </c>
      <c r="C11" s="3" t="s">
        <v>20</v>
      </c>
      <c r="D11" s="61" t="s">
        <v>31</v>
      </c>
      <c r="E11" s="20">
        <v>30</v>
      </c>
      <c r="F11" s="62">
        <v>61</v>
      </c>
      <c r="G11" s="45">
        <f>SimpleInvoice[[#This Row],[PCS]]*SimpleInvoice[[#This Row],[Unit Price]]</f>
        <v>1830</v>
      </c>
    </row>
    <row r="12" spans="1:7" ht="33.9" customHeight="1" x14ac:dyDescent="0.3">
      <c r="B12" s="46">
        <v>5</v>
      </c>
      <c r="C12" s="4" t="s">
        <v>21</v>
      </c>
      <c r="D12" s="16" t="s">
        <v>31</v>
      </c>
      <c r="E12" s="64">
        <v>15</v>
      </c>
      <c r="F12" s="63">
        <v>257</v>
      </c>
      <c r="G12" s="47">
        <f>SimpleInvoice[[#This Row],[PCS]]*SimpleInvoice[[#This Row],[Unit Price]]</f>
        <v>3855</v>
      </c>
    </row>
    <row r="13" spans="1:7" ht="33.9" customHeight="1" x14ac:dyDescent="0.3">
      <c r="B13" s="60">
        <v>6</v>
      </c>
      <c r="C13" s="3" t="s">
        <v>22</v>
      </c>
      <c r="D13" s="61" t="s">
        <v>31</v>
      </c>
      <c r="E13" s="20">
        <v>3</v>
      </c>
      <c r="F13" s="62">
        <v>154</v>
      </c>
      <c r="G13" s="45">
        <f>SimpleInvoice[[#This Row],[PCS]]*SimpleInvoice[[#This Row],[Unit Price]]</f>
        <v>462</v>
      </c>
    </row>
    <row r="14" spans="1:7" ht="8.25" customHeight="1" x14ac:dyDescent="0.3">
      <c r="B14" s="46"/>
      <c r="C14" s="4"/>
      <c r="D14" s="5"/>
      <c r="E14" s="6"/>
      <c r="F14" s="6"/>
      <c r="G14" s="47">
        <f>SimpleInvoice[[#This Row],[PCS]]*SimpleInvoice[[#This Row],[Unit Price]]</f>
        <v>0</v>
      </c>
    </row>
    <row r="15" spans="1:7" ht="33.9" customHeight="1" x14ac:dyDescent="0.3">
      <c r="B15" s="44"/>
      <c r="C15" s="3"/>
      <c r="D15" s="15"/>
      <c r="E15" s="20"/>
      <c r="F15" s="62"/>
      <c r="G15" s="45">
        <f>SimpleInvoice[[#This Row],[PCS]]*SimpleInvoice[[#This Row],[Unit Price]]</f>
        <v>0</v>
      </c>
    </row>
    <row r="16" spans="1:7" ht="33.9" customHeight="1" x14ac:dyDescent="0.3">
      <c r="B16" s="46"/>
      <c r="C16" s="4"/>
      <c r="D16" s="16"/>
      <c r="E16" s="64"/>
      <c r="F16" s="63"/>
      <c r="G16" s="47">
        <f>SimpleInvoice[[#This Row],[PCS]]*SimpleInvoice[[#This Row],[Unit Price]]</f>
        <v>0</v>
      </c>
    </row>
    <row r="17" spans="2:7" ht="33.9" customHeight="1" x14ac:dyDescent="0.3">
      <c r="B17" s="44"/>
      <c r="C17" s="3"/>
      <c r="D17" s="15"/>
      <c r="E17" s="20"/>
      <c r="F17" s="62"/>
      <c r="G17" s="45">
        <f>SimpleInvoice[[#This Row],[PCS]]*SimpleInvoice[[#This Row],[Unit Price]]</f>
        <v>0</v>
      </c>
    </row>
    <row r="18" spans="2:7" ht="17.25" customHeight="1" x14ac:dyDescent="0.3">
      <c r="B18" s="48"/>
      <c r="C18" s="49"/>
      <c r="D18" s="50"/>
      <c r="E18" s="51"/>
      <c r="F18" s="51"/>
      <c r="G18" s="52">
        <f>SimpleInvoice[[#This Row],[PCS]]*SimpleInvoice[[#This Row],[Unit Price]]</f>
        <v>0</v>
      </c>
    </row>
    <row r="19" spans="2:7" ht="33.9" customHeight="1" x14ac:dyDescent="0.3">
      <c r="B19" s="9"/>
      <c r="C19" s="2"/>
      <c r="D19" s="2"/>
      <c r="E19" s="2"/>
      <c r="F19" s="42" t="s">
        <v>3</v>
      </c>
      <c r="G19" s="43">
        <f>SUM(SimpleInvoice[Price])</f>
        <v>12599</v>
      </c>
    </row>
    <row r="20" spans="2:7" ht="33.9" customHeight="1" x14ac:dyDescent="0.3">
      <c r="B20" s="9"/>
      <c r="C20" s="2"/>
      <c r="D20" s="2"/>
      <c r="E20" s="2"/>
      <c r="F20" s="11" t="s">
        <v>39</v>
      </c>
      <c r="G20" s="12">
        <f>G19*2.5%</f>
        <v>314.97500000000002</v>
      </c>
    </row>
    <row r="21" spans="2:7" ht="33.9" customHeight="1" x14ac:dyDescent="0.3">
      <c r="B21" s="9"/>
      <c r="C21" s="2"/>
      <c r="D21" s="2"/>
      <c r="E21" s="2"/>
      <c r="F21" s="8" t="s">
        <v>40</v>
      </c>
      <c r="G21" s="10">
        <f>G19*2.5%</f>
        <v>314.97500000000002</v>
      </c>
    </row>
    <row r="22" spans="2:7" ht="33.9" customHeight="1" x14ac:dyDescent="0.3">
      <c r="B22" s="9"/>
      <c r="C22" s="2"/>
      <c r="D22" s="2"/>
      <c r="E22" s="2"/>
      <c r="F22" s="11" t="s">
        <v>8</v>
      </c>
      <c r="G22" s="12"/>
    </row>
    <row r="23" spans="2:7" ht="33.9" customHeight="1" thickBot="1" x14ac:dyDescent="0.35">
      <c r="B23" s="72"/>
      <c r="C23" s="73"/>
      <c r="D23" s="73"/>
      <c r="E23" s="74"/>
      <c r="F23" s="13" t="s">
        <v>0</v>
      </c>
      <c r="G23" s="14">
        <f>G19+G20+G21+G22</f>
        <v>13228.95</v>
      </c>
    </row>
    <row r="24" spans="2:7" ht="16.5" customHeight="1" thickBot="1" x14ac:dyDescent="0.35">
      <c r="B24" s="17"/>
      <c r="C24" s="17"/>
      <c r="D24" s="17"/>
      <c r="E24" s="17"/>
      <c r="F24" s="18"/>
      <c r="G24" s="19"/>
    </row>
    <row r="25" spans="2:7" ht="33.9" customHeight="1" x14ac:dyDescent="0.3">
      <c r="B25" s="21"/>
      <c r="C25" s="22"/>
      <c r="D25" s="22"/>
      <c r="E25" s="22"/>
      <c r="F25" s="68" t="s">
        <v>11</v>
      </c>
      <c r="G25" s="69"/>
    </row>
    <row r="26" spans="2:7" ht="33.9" customHeight="1" x14ac:dyDescent="0.3">
      <c r="B26" s="23"/>
      <c r="C26" s="24"/>
      <c r="D26" s="24"/>
      <c r="E26" s="24"/>
      <c r="F26" s="24"/>
      <c r="G26" s="25"/>
    </row>
    <row r="27" spans="2:7" ht="33.9" customHeight="1" thickBot="1" x14ac:dyDescent="0.35">
      <c r="B27" s="70" t="s">
        <v>12</v>
      </c>
      <c r="C27" s="71"/>
      <c r="D27" s="26"/>
      <c r="E27" s="26"/>
      <c r="F27" s="66" t="s">
        <v>10</v>
      </c>
      <c r="G27" s="67"/>
    </row>
  </sheetData>
  <sheetProtection formatCells="0" formatColumns="0" formatRows="0" selectLockedCells="1" sort="0"/>
  <mergeCells count="10">
    <mergeCell ref="B1:G1"/>
    <mergeCell ref="F27:G27"/>
    <mergeCell ref="F25:G25"/>
    <mergeCell ref="B27:C27"/>
    <mergeCell ref="B23:E23"/>
    <mergeCell ref="D4:E4"/>
    <mergeCell ref="D5:E5"/>
    <mergeCell ref="C4:C5"/>
    <mergeCell ref="B4:B5"/>
    <mergeCell ref="D3:E3"/>
  </mergeCells>
  <phoneticPr fontId="1" type="noConversion"/>
  <conditionalFormatting sqref="F20 F22">
    <cfRule type="expression" dxfId="1" priority="29">
      <formula>MOD(ROW(),2)=0</formula>
    </cfRule>
  </conditionalFormatting>
  <dataValidations xWindow="245" yWindow="524" count="25">
    <dataValidation allowBlank="1" showInputMessage="1" showErrorMessage="1" prompt="The Total Amount is automatically calculated in this cell" sqref="G23:G24" xr:uid="{00000000-0002-0000-0000-000000000000}"/>
    <dataValidation allowBlank="1" showInputMessage="1" showErrorMessage="1" prompt="Enter Other Amounts to be charged, if any" sqref="G22" xr:uid="{00000000-0002-0000-0000-000001000000}"/>
    <dataValidation allowBlank="1" showInputMessage="1" showErrorMessage="1" prompt="The Sales Tax is automatically calculated in this cell" sqref="G21" xr:uid="{00000000-0002-0000-0000-000002000000}"/>
    <dataValidation allowBlank="1" showInputMessage="1" showErrorMessage="1" prompt="Enter Tax Rate in this cell" sqref="G20" xr:uid="{00000000-0002-0000-0000-000003000000}"/>
    <dataValidation allowBlank="1" showInputMessage="1" showErrorMessage="1" prompt="The subtotal amount is automatically calculated in this cell" sqref="G19" xr:uid="{00000000-0002-0000-0000-000004000000}"/>
    <dataValidation allowBlank="1" showInputMessage="1" showErrorMessage="1" prompt="Enter Price in this column under this heading" sqref="G6" xr:uid="{00000000-0002-0000-0000-000005000000}"/>
    <dataValidation allowBlank="1" showInputMessage="1" showErrorMessage="1" prompt="Enter Discount in this column under this heading" sqref="F6" xr:uid="{00000000-0002-0000-0000-000006000000}"/>
    <dataValidation allowBlank="1" showInputMessage="1" showErrorMessage="1" prompt="Enter Unit Price in this column under this heading" sqref="E6" xr:uid="{00000000-0002-0000-0000-000007000000}"/>
    <dataValidation allowBlank="1" showInputMessage="1" showErrorMessage="1" prompt="Enter Quantity in this column under this heading" sqref="D6" xr:uid="{00000000-0002-0000-0000-000008000000}"/>
    <dataValidation allowBlank="1" showInputMessage="1" showErrorMessage="1" prompt="Enter Description in this column under this heading" sqref="C6" xr:uid="{00000000-0002-0000-0000-000009000000}"/>
    <dataValidation allowBlank="1" showInputMessage="1" showErrorMessage="1" prompt="Enter Item number in this column under this heading" sqref="B6" xr:uid="{00000000-0002-0000-0000-00000A000000}"/>
    <dataValidation allowBlank="1" showInputMessage="1" showErrorMessage="1" prompt="Enter Invoice Date in the cell at right" sqref="F4" xr:uid="{00000000-0002-0000-0000-00000B000000}"/>
    <dataValidation allowBlank="1" showInputMessage="1" showErrorMessage="1" prompt="Enter Invoice Date in this cell" sqref="G4" xr:uid="{00000000-0002-0000-0000-00000C000000}"/>
    <dataValidation allowBlank="1" showInputMessage="1" showErrorMessage="1" prompt="Enter Invoice number in the cell at right" sqref="F3" xr:uid="{00000000-0002-0000-0000-00000D000000}"/>
    <dataValidation allowBlank="1" showInputMessage="1" showErrorMessage="1" prompt="Enter Invoice number in this cell" sqref="G3" xr:uid="{00000000-0002-0000-0000-00000E000000}"/>
    <dataValidation allowBlank="1" showInputMessage="1" showErrorMessage="1" prompt="Enter billing Address in this cell" sqref="C4" xr:uid="{00000000-0002-0000-0000-00000F000000}"/>
    <dataValidation allowBlank="1" showInputMessage="1" showErrorMessage="1" prompt="Enter billing Address in the cell at right" sqref="B4" xr:uid="{00000000-0002-0000-0000-000010000000}"/>
    <dataValidation allowBlank="1" showInputMessage="1" showErrorMessage="1" prompt="Enter Bill To in the cell at right" sqref="B3" xr:uid="{00000000-0002-0000-0000-000011000000}"/>
    <dataValidation allowBlank="1" showInputMessage="1" showErrorMessage="1" prompt="Enter Fax Number in this cell" sqref="D4:E4" xr:uid="{00000000-0002-0000-0000-000012000000}"/>
    <dataValidation allowBlank="1" showInputMessage="1" showErrorMessage="1" prompt="Enter Phone Number in this cell" sqref="D3:E3" xr:uid="{00000000-0002-0000-0000-000013000000}"/>
    <dataValidation allowBlank="1" showInputMessage="1" showErrorMessage="1" prompt="Modify Company Name in this cell. Enter company address, phone, fax,  email &amp; website in cells B2 to G3. Enter Billing details in cells B4 to G7" sqref="B2" xr:uid="{00000000-0002-0000-0000-000014000000}"/>
    <dataValidation allowBlank="1" showInputMessage="1" showErrorMessage="1" prompt="Create a Simple Invoice in this worksheet" sqref="A2" xr:uid="{00000000-0002-0000-0000-000015000000}"/>
    <dataValidation allowBlank="1" showInputMessage="1" showErrorMessage="1" prompt="Enter Email address in this cell" sqref="D5:E5" xr:uid="{00000000-0002-0000-0000-000016000000}"/>
    <dataValidation allowBlank="1" showInputMessage="1" showErrorMessage="1" prompt="Enter Bill To in this cell" sqref="C3" xr:uid="{00000000-0002-0000-0000-000017000000}"/>
    <dataValidation allowBlank="1" showInputMessage="1" showErrorMessage="1" prompt="Enter the number of days in which the Total is due to replace the first &lt;#&gt; in this cell and enter overdue service charge percent in the second &lt;#&gt;" sqref="B23:E24" xr:uid="{00000000-0002-0000-0000-000018000000}"/>
  </dataValidations>
  <printOptions horizontalCentered="1"/>
  <pageMargins left="0.7" right="0.7" top="0.5" bottom="0.5" header="0.3" footer="0.3"/>
  <pageSetup fitToHeight="0" orientation="portrait" horizontalDpi="300" verticalDpi="300" r:id="rId1"/>
  <headerFooter differentFirst="1" alignWithMargins="0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3:M13"/>
  <sheetViews>
    <sheetView workbookViewId="0">
      <selection activeCell="K3" sqref="K3:M13"/>
    </sheetView>
  </sheetViews>
  <sheetFormatPr defaultRowHeight="14.4" x14ac:dyDescent="0.3"/>
  <sheetData>
    <row r="3" spans="7:13" ht="23.4" x14ac:dyDescent="0.3">
      <c r="G3" s="80" t="s">
        <v>15</v>
      </c>
      <c r="H3" s="81"/>
      <c r="I3" s="82"/>
      <c r="J3" s="53" t="s">
        <v>16</v>
      </c>
      <c r="K3" s="83">
        <v>12</v>
      </c>
      <c r="L3" s="84"/>
      <c r="M3" s="54">
        <v>56</v>
      </c>
    </row>
    <row r="4" spans="7:13" ht="23.4" x14ac:dyDescent="0.3">
      <c r="G4" s="80" t="s">
        <v>17</v>
      </c>
      <c r="H4" s="81"/>
      <c r="I4" s="82"/>
      <c r="J4" s="53" t="s">
        <v>18</v>
      </c>
      <c r="K4" s="83">
        <v>3</v>
      </c>
      <c r="L4" s="84"/>
      <c r="M4" s="54">
        <v>245</v>
      </c>
    </row>
    <row r="5" spans="7:13" ht="23.4" x14ac:dyDescent="0.3">
      <c r="G5" s="80" t="s">
        <v>19</v>
      </c>
      <c r="H5" s="81"/>
      <c r="I5" s="82"/>
      <c r="J5" s="53" t="s">
        <v>18</v>
      </c>
      <c r="K5" s="83">
        <v>1</v>
      </c>
      <c r="L5" s="84"/>
      <c r="M5" s="54">
        <v>154</v>
      </c>
    </row>
    <row r="6" spans="7:13" ht="23.4" x14ac:dyDescent="0.3">
      <c r="G6" s="55"/>
      <c r="H6" s="56"/>
      <c r="I6" s="57"/>
      <c r="J6" s="53"/>
      <c r="K6" s="58"/>
      <c r="L6" s="59"/>
      <c r="M6" s="54"/>
    </row>
    <row r="7" spans="7:13" ht="23.4" x14ac:dyDescent="0.3">
      <c r="G7" s="80" t="s">
        <v>20</v>
      </c>
      <c r="H7" s="81"/>
      <c r="I7" s="82"/>
      <c r="J7" s="53" t="s">
        <v>16</v>
      </c>
      <c r="K7" s="83">
        <v>10</v>
      </c>
      <c r="L7" s="84"/>
      <c r="M7" s="54">
        <v>56</v>
      </c>
    </row>
    <row r="8" spans="7:13" ht="23.4" x14ac:dyDescent="0.3">
      <c r="G8" s="80" t="s">
        <v>21</v>
      </c>
      <c r="H8" s="81"/>
      <c r="I8" s="82"/>
      <c r="J8" s="53" t="s">
        <v>18</v>
      </c>
      <c r="K8" s="83">
        <v>2</v>
      </c>
      <c r="L8" s="84"/>
      <c r="M8" s="54">
        <v>245</v>
      </c>
    </row>
    <row r="9" spans="7:13" ht="23.4" x14ac:dyDescent="0.3">
      <c r="G9" s="80" t="s">
        <v>22</v>
      </c>
      <c r="H9" s="81"/>
      <c r="I9" s="82"/>
      <c r="J9" s="53" t="s">
        <v>18</v>
      </c>
      <c r="K9" s="83">
        <v>1</v>
      </c>
      <c r="L9" s="84"/>
      <c r="M9" s="54">
        <v>154</v>
      </c>
    </row>
    <row r="10" spans="7:13" ht="23.4" x14ac:dyDescent="0.3">
      <c r="G10" s="55"/>
      <c r="H10" s="56"/>
      <c r="I10" s="57"/>
      <c r="J10" s="53"/>
      <c r="K10" s="58"/>
      <c r="L10" s="59"/>
      <c r="M10" s="54"/>
    </row>
    <row r="11" spans="7:13" ht="23.4" x14ac:dyDescent="0.3">
      <c r="G11" s="80" t="s">
        <v>23</v>
      </c>
      <c r="H11" s="81"/>
      <c r="I11" s="82"/>
      <c r="J11" s="53" t="s">
        <v>16</v>
      </c>
      <c r="K11" s="83">
        <v>5</v>
      </c>
      <c r="L11" s="84"/>
      <c r="M11" s="54">
        <v>56</v>
      </c>
    </row>
    <row r="12" spans="7:13" ht="23.4" x14ac:dyDescent="0.3">
      <c r="G12" s="80" t="s">
        <v>24</v>
      </c>
      <c r="H12" s="81"/>
      <c r="I12" s="82"/>
      <c r="J12" s="53" t="s">
        <v>18</v>
      </c>
      <c r="K12" s="83">
        <v>1</v>
      </c>
      <c r="L12" s="84"/>
      <c r="M12" s="54">
        <v>245</v>
      </c>
    </row>
    <row r="13" spans="7:13" ht="23.4" x14ac:dyDescent="0.3">
      <c r="G13" s="80" t="s">
        <v>25</v>
      </c>
      <c r="H13" s="81"/>
      <c r="I13" s="82"/>
      <c r="J13" s="53" t="s">
        <v>18</v>
      </c>
      <c r="K13" s="83">
        <v>1</v>
      </c>
      <c r="L13" s="84"/>
      <c r="M13" s="54">
        <v>154</v>
      </c>
    </row>
  </sheetData>
  <mergeCells count="18">
    <mergeCell ref="G3:I3"/>
    <mergeCell ref="K3:L3"/>
    <mergeCell ref="G4:I4"/>
    <mergeCell ref="K4:L4"/>
    <mergeCell ref="G5:I5"/>
    <mergeCell ref="K5:L5"/>
    <mergeCell ref="G7:I7"/>
    <mergeCell ref="K7:L7"/>
    <mergeCell ref="G8:I8"/>
    <mergeCell ref="K8:L8"/>
    <mergeCell ref="G9:I9"/>
    <mergeCell ref="K9:L9"/>
    <mergeCell ref="G11:I11"/>
    <mergeCell ref="K11:L11"/>
    <mergeCell ref="G12:I12"/>
    <mergeCell ref="K12:L12"/>
    <mergeCell ref="G13:I13"/>
    <mergeCell ref="K13:L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"/>
  <sheetViews>
    <sheetView workbookViewId="0">
      <selection activeCell="C6" sqref="C6"/>
    </sheetView>
  </sheetViews>
  <sheetFormatPr defaultRowHeight="14.4" x14ac:dyDescent="0.3"/>
  <sheetData>
    <row r="6" spans="3:3" ht="86.4" x14ac:dyDescent="0.3">
      <c r="C6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F8FCAB62-B301-4E8B-B15B-175233FC19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C023E4-00E7-46F9-9E7C-906963247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996E35-CF38-4EE8-BF85-AAE60D691A7A}">
  <ds:schemaRefs>
    <ds:schemaRef ds:uri="http://purl.org/dc/elements/1.1/"/>
    <ds:schemaRef ds:uri="http://schemas.microsoft.com/office/2006/documentManagement/types"/>
    <ds:schemaRef ds:uri="http://purl.org/dc/dcmitype/"/>
    <ds:schemaRef ds:uri="16c05727-aa75-4e4a-9b5f-8a80a1165891"/>
    <ds:schemaRef ds:uri="http://schemas.microsoft.com/office/2006/metadata/properties"/>
    <ds:schemaRef ds:uri="71af3243-3dd4-4a8d-8c0d-dd76da1f02a5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Invoice</vt:lpstr>
      <vt:lpstr>Sheet1</vt:lpstr>
      <vt:lpstr>Sheet2</vt:lpstr>
      <vt:lpstr>ColumnTitle1</vt:lpstr>
      <vt:lpstr>company_name</vt:lpstr>
      <vt:lpstr>Invoice!Print_Area</vt:lpstr>
      <vt:lpstr>Invoice!Print_Titles</vt:lpstr>
      <vt:lpstr>RowTitleRegion1..C7</vt:lpstr>
      <vt:lpstr>RowTitleRegion2..G5</vt:lpstr>
      <vt:lpstr>RowTitleRegion3..G26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2019-07-07T22:54:40Z</dcterms:created>
  <dcterms:modified xsi:type="dcterms:W3CDTF">2026-07-11T11:12:35Z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