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TA-2023\PAKKAR TANVEER EXPORTS  - 01-04-2023\REQURIMENTS -2023\MODA PIEL\FRYE STYLE FRCO2423112\"/>
    </mc:Choice>
  </mc:AlternateContent>
  <xr:revisionPtr revIDLastSave="0" documentId="13_ncr:1_{CAB84DBB-0581-4FAA-AAB3-BD0604F200E8}" xr6:coauthVersionLast="47" xr6:coauthVersionMax="47" xr10:uidLastSave="{00000000-0000-0000-0000-000000000000}"/>
  <bookViews>
    <workbookView xWindow="-108" yWindow="-108" windowWidth="23256" windowHeight="12456" xr2:uid="{E1B0ACDD-BE98-42A1-95C6-B2F9ED4A65A3}"/>
  </bookViews>
  <sheets>
    <sheet name="Sheet1" sheetId="1" r:id="rId1"/>
  </sheets>
  <definedNames>
    <definedName name="_xlnm.Print_Area" localSheetId="0">Sheet1!$A$1:$M$76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C20" i="1"/>
  <c r="H20" i="1"/>
  <c r="I20" i="1"/>
  <c r="K20" i="1" s="1"/>
  <c r="B60" i="1"/>
  <c r="E50" i="1" s="1"/>
  <c r="G50" i="1" s="1"/>
  <c r="H50" i="1" s="1"/>
  <c r="F56" i="1"/>
  <c r="H55" i="1"/>
  <c r="I55" i="1" s="1"/>
  <c r="G55" i="1"/>
  <c r="F55" i="1"/>
  <c r="G54" i="1"/>
  <c r="H54" i="1" s="1"/>
  <c r="F54" i="1"/>
  <c r="F53" i="1"/>
  <c r="E53" i="1"/>
  <c r="G53" i="1" s="1"/>
  <c r="H53" i="1" s="1"/>
  <c r="I53" i="1" s="1"/>
  <c r="F52" i="1"/>
  <c r="E52" i="1"/>
  <c r="G52" i="1" s="1"/>
  <c r="H52" i="1" s="1"/>
  <c r="I52" i="1" s="1"/>
  <c r="F51" i="1"/>
  <c r="E51" i="1"/>
  <c r="G51" i="1" s="1"/>
  <c r="H51" i="1" s="1"/>
  <c r="I51" i="1" s="1"/>
  <c r="F50" i="1"/>
  <c r="F49" i="1"/>
  <c r="E47" i="1"/>
  <c r="H47" i="1" s="1"/>
  <c r="H46" i="1"/>
  <c r="F46" i="1"/>
  <c r="I46" i="1" s="1"/>
  <c r="H45" i="1"/>
  <c r="F45" i="1"/>
  <c r="I45" i="1" s="1"/>
  <c r="I44" i="1"/>
  <c r="F44" i="1"/>
  <c r="I43" i="1"/>
  <c r="K43" i="1" s="1"/>
  <c r="L43" i="1" s="1"/>
  <c r="H43" i="1"/>
  <c r="F43" i="1"/>
  <c r="H42" i="1"/>
  <c r="F42" i="1"/>
  <c r="I42" i="1" s="1"/>
  <c r="H41" i="1"/>
  <c r="F41" i="1"/>
  <c r="I41" i="1" s="1"/>
  <c r="F39" i="1"/>
  <c r="I39" i="1" s="1"/>
  <c r="H38" i="1"/>
  <c r="F38" i="1"/>
  <c r="I38" i="1" s="1"/>
  <c r="H37" i="1"/>
  <c r="F37" i="1"/>
  <c r="I37" i="1" s="1"/>
  <c r="K37" i="1" s="1"/>
  <c r="L37" i="1" s="1"/>
  <c r="H35" i="1"/>
  <c r="F35" i="1"/>
  <c r="I35" i="1" s="1"/>
  <c r="H34" i="1"/>
  <c r="F34" i="1"/>
  <c r="I34" i="1" s="1"/>
  <c r="H33" i="1"/>
  <c r="F33" i="1"/>
  <c r="I33" i="1" s="1"/>
  <c r="H31" i="1"/>
  <c r="F31" i="1"/>
  <c r="I31" i="1" s="1"/>
  <c r="C31" i="1"/>
  <c r="H30" i="1"/>
  <c r="F30" i="1"/>
  <c r="I30" i="1" s="1"/>
  <c r="K30" i="1" s="1"/>
  <c r="L30" i="1" s="1"/>
  <c r="C30" i="1"/>
  <c r="H28" i="1"/>
  <c r="F28" i="1"/>
  <c r="I28" i="1" s="1"/>
  <c r="H27" i="1"/>
  <c r="F27" i="1"/>
  <c r="I27" i="1" s="1"/>
  <c r="H26" i="1"/>
  <c r="F26" i="1"/>
  <c r="I26" i="1" s="1"/>
  <c r="K26" i="1" s="1"/>
  <c r="L26" i="1" s="1"/>
  <c r="F24" i="1"/>
  <c r="H24" i="1" s="1"/>
  <c r="C24" i="1"/>
  <c r="F23" i="1"/>
  <c r="H23" i="1" s="1"/>
  <c r="C23" i="1"/>
  <c r="F22" i="1"/>
  <c r="I22" i="1" s="1"/>
  <c r="C22" i="1"/>
  <c r="H19" i="1"/>
  <c r="F19" i="1"/>
  <c r="I19" i="1" s="1"/>
  <c r="K19" i="1" s="1"/>
  <c r="C19" i="1"/>
  <c r="H18" i="1"/>
  <c r="F18" i="1"/>
  <c r="I18" i="1" s="1"/>
  <c r="C18" i="1"/>
  <c r="H11" i="1"/>
  <c r="H13" i="1" s="1"/>
  <c r="F11" i="1"/>
  <c r="I11" i="1" s="1"/>
  <c r="I50" i="1" l="1"/>
  <c r="K50" i="1" s="1"/>
  <c r="L50" i="1" s="1"/>
  <c r="L20" i="1"/>
  <c r="I54" i="1"/>
  <c r="K18" i="1"/>
  <c r="K42" i="1"/>
  <c r="L42" i="1"/>
  <c r="K54" i="1"/>
  <c r="L54" i="1" s="1"/>
  <c r="K31" i="1"/>
  <c r="L31" i="1" s="1"/>
  <c r="K38" i="1"/>
  <c r="L38" i="1" s="1"/>
  <c r="I13" i="1"/>
  <c r="G15" i="1" s="1"/>
  <c r="K11" i="1"/>
  <c r="K13" i="1" s="1"/>
  <c r="K46" i="1"/>
  <c r="L46" i="1"/>
  <c r="K35" i="1"/>
  <c r="L35" i="1"/>
  <c r="K53" i="1"/>
  <c r="L53" i="1" s="1"/>
  <c r="K27" i="1"/>
  <c r="L27" i="1" s="1"/>
  <c r="K51" i="1"/>
  <c r="L51" i="1" s="1"/>
  <c r="K34" i="1"/>
  <c r="L34" i="1"/>
  <c r="K52" i="1"/>
  <c r="L52" i="1" s="1"/>
  <c r="K22" i="1"/>
  <c r="L22" i="1"/>
  <c r="K41" i="1"/>
  <c r="L41" i="1" s="1"/>
  <c r="K33" i="1"/>
  <c r="L33" i="1" s="1"/>
  <c r="K39" i="1"/>
  <c r="L39" i="1" s="1"/>
  <c r="K45" i="1"/>
  <c r="L45" i="1" s="1"/>
  <c r="F47" i="1"/>
  <c r="I47" i="1" s="1"/>
  <c r="K55" i="1"/>
  <c r="L55" i="1" s="1"/>
  <c r="L19" i="1"/>
  <c r="I24" i="1"/>
  <c r="E49" i="1"/>
  <c r="G49" i="1" s="1"/>
  <c r="H49" i="1" s="1"/>
  <c r="I49" i="1" s="1"/>
  <c r="I23" i="1"/>
  <c r="K44" i="1"/>
  <c r="L44" i="1" s="1"/>
  <c r="K28" i="1"/>
  <c r="L28" i="1" s="1"/>
  <c r="H22" i="1"/>
  <c r="H48" i="1" s="1"/>
  <c r="H56" i="1" l="1"/>
  <c r="L11" i="1"/>
  <c r="L13" i="1" s="1"/>
  <c r="G16" i="1" s="1"/>
  <c r="D70" i="1" s="1"/>
  <c r="I48" i="1"/>
  <c r="I56" i="1" s="1"/>
  <c r="G60" i="1" s="1"/>
  <c r="G59" i="1"/>
  <c r="F70" i="1"/>
  <c r="K49" i="1"/>
  <c r="L49" i="1" s="1"/>
  <c r="K47" i="1"/>
  <c r="L47" i="1" s="1"/>
  <c r="K24" i="1"/>
  <c r="L24" i="1" s="1"/>
  <c r="K23" i="1"/>
  <c r="L18" i="1"/>
  <c r="E66" i="1" l="1"/>
  <c r="F71" i="1" s="1"/>
  <c r="K48" i="1"/>
  <c r="K56" i="1"/>
  <c r="F72" i="1"/>
  <c r="F74" i="1" s="1"/>
  <c r="G61" i="1"/>
  <c r="G63" i="1" s="1"/>
  <c r="L23" i="1"/>
  <c r="L48" i="1"/>
  <c r="L56" i="1" s="1"/>
  <c r="E67" i="1" s="1"/>
  <c r="D71" i="1" s="1"/>
  <c r="D72" i="1" s="1"/>
  <c r="D74" i="1" s="1"/>
</calcChain>
</file>

<file path=xl/sharedStrings.xml><?xml version="1.0" encoding="utf-8"?>
<sst xmlns="http://schemas.openxmlformats.org/spreadsheetml/2006/main" count="130" uniqueCount="85">
  <si>
    <t xml:space="preserve">Buyer Po:   MODA PIEL </t>
  </si>
  <si>
    <t>Order Qty  : 1</t>
  </si>
  <si>
    <t>Style Group</t>
  </si>
  <si>
    <t>Material</t>
  </si>
  <si>
    <t>Colour</t>
  </si>
  <si>
    <t>UOM</t>
  </si>
  <si>
    <t>Norms</t>
  </si>
  <si>
    <t>Total Qty</t>
  </si>
  <si>
    <t>Price</t>
  </si>
  <si>
    <t>Per Pair Amount</t>
  </si>
  <si>
    <t>AMOUNT</t>
  </si>
  <si>
    <t>GST</t>
  </si>
  <si>
    <t>AMOUNT WITH GST</t>
  </si>
  <si>
    <t>SHEEP</t>
  </si>
  <si>
    <t>RATE</t>
  </si>
  <si>
    <t>BLACK</t>
  </si>
  <si>
    <t>DCM</t>
  </si>
  <si>
    <t xml:space="preserve">RES OLD CUERO </t>
  </si>
  <si>
    <t>BROWN</t>
  </si>
  <si>
    <t>No GST</t>
  </si>
  <si>
    <t>Per Pair</t>
  </si>
  <si>
    <t>With GST</t>
  </si>
  <si>
    <t>LINING</t>
  </si>
  <si>
    <t xml:space="preserve">SPANDEX POLYESTER </t>
  </si>
  <si>
    <t>MTR</t>
  </si>
  <si>
    <t>TAFETA 210T POLY</t>
  </si>
  <si>
    <t>THREADS</t>
  </si>
  <si>
    <t>TKT-30</t>
  </si>
  <si>
    <t>BOX</t>
  </si>
  <si>
    <t>TKT-60</t>
  </si>
  <si>
    <t>TKT 50</t>
  </si>
  <si>
    <t xml:space="preserve">FUSING </t>
  </si>
  <si>
    <t xml:space="preserve">GREY </t>
  </si>
  <si>
    <t>MTS</t>
  </si>
  <si>
    <t xml:space="preserve">SOLUTIONS </t>
  </si>
  <si>
    <t>NA</t>
  </si>
  <si>
    <t>LITTER</t>
  </si>
  <si>
    <t>PAKKA TAP 3 MM</t>
  </si>
  <si>
    <t xml:space="preserve">WHITE </t>
  </si>
  <si>
    <t xml:space="preserve">ZIP </t>
  </si>
  <si>
    <t>OPEN D/A #8 METAL ZIPPER WITH DARK BROWN TAPE AND ANTIQUE BRASS FRYE PULLER</t>
  </si>
  <si>
    <t>NOS</t>
  </si>
  <si>
    <t>CLOSED D/A #5 METAL ZIPPER WITH DARK BROWN TAPE AND ANTIQUE BRASS FRYE PULLER</t>
  </si>
  <si>
    <t xml:space="preserve">BUTTONS </t>
  </si>
  <si>
    <t>RIVETS ANTIQUE BRASS 14l</t>
  </si>
  <si>
    <t>HIDDEN GENERIC ROUNDED SNAP 27L</t>
  </si>
  <si>
    <t xml:space="preserve">LAZZER ENFRAVING FRYE LABEL </t>
  </si>
  <si>
    <t>LABELS</t>
  </si>
  <si>
    <t xml:space="preserve">MAIN LABEL </t>
  </si>
  <si>
    <t>CARE LABEL</t>
  </si>
  <si>
    <t>SIZE LABEL</t>
  </si>
  <si>
    <t>PACKING  MATERIALS</t>
  </si>
  <si>
    <t xml:space="preserve">TAG </t>
  </si>
  <si>
    <t>STICKER</t>
  </si>
  <si>
    <t>POLY BAG</t>
  </si>
  <si>
    <t>KG</t>
  </si>
  <si>
    <t xml:space="preserve">BOX INNER PLY COVER </t>
  </si>
  <si>
    <t xml:space="preserve">TISSU PAPPER </t>
  </si>
  <si>
    <t>RIM</t>
  </si>
  <si>
    <t xml:space="preserve">BOXES </t>
  </si>
  <si>
    <t>PACKING TAPE</t>
  </si>
  <si>
    <t>ROLL</t>
  </si>
  <si>
    <t>General</t>
  </si>
  <si>
    <r>
      <t>TESTING  CHARGES-</t>
    </r>
    <r>
      <rPr>
        <sz val="9"/>
        <color rgb="FFFF0000"/>
        <rFont val="Book Antiqua"/>
        <family val="1"/>
      </rPr>
      <t>BUYER 5%( import charges)</t>
    </r>
  </si>
  <si>
    <t>OFFICE O.H 6.6%</t>
  </si>
  <si>
    <t>COMMISSION 10%</t>
  </si>
  <si>
    <t xml:space="preserve"> .</t>
  </si>
  <si>
    <t>DISCOUNT CHARGE 2.5%</t>
  </si>
  <si>
    <t>REJECTION 2%</t>
  </si>
  <si>
    <t>MAKING COST</t>
  </si>
  <si>
    <t>C&amp;F</t>
  </si>
  <si>
    <t>FIRGHTCLEARING CHARGES</t>
  </si>
  <si>
    <t>With out  GST</t>
  </si>
  <si>
    <t>USD</t>
  </si>
  <si>
    <t>LEATHER   PER   PAIR</t>
  </si>
  <si>
    <t>MATERIALS   PER   PAIR</t>
  </si>
  <si>
    <t>Total  Cost</t>
  </si>
  <si>
    <t>Materials</t>
  </si>
  <si>
    <t>NO GST</t>
  </si>
  <si>
    <t>LEATHER   PER   GARMENTS</t>
  </si>
  <si>
    <t xml:space="preserve">MATERIALS   PER   GARMENTS </t>
  </si>
  <si>
    <t>.</t>
  </si>
  <si>
    <t>foum 10 mm</t>
  </si>
  <si>
    <t xml:space="preserve">STYLE NO        :     FRCO 2423 112  --------------- MAN </t>
  </si>
  <si>
    <t xml:space="preserve">BABY LAMB NAPPA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</si>
</sst>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Book Antiqua"/>
      <family val="1"/>
    </font>
    <font>
      <sz val="9"/>
      <color theme="1"/>
      <name val="Book Antiqua"/>
      <family val="1"/>
    </font>
    <font>
      <sz val="9"/>
      <color rgb="FFFF0000"/>
      <name val="Book Antiqua"/>
      <family val="1"/>
    </font>
    <font>
      <b/>
      <sz val="9"/>
      <color rgb="FFFF0000"/>
      <name val="Book Antiqua"/>
      <family val="1"/>
    </font>
    <font>
      <b/>
      <sz val="14"/>
      <color rgb="FFFF0000"/>
      <name val="Book Antiqua"/>
      <family val="1"/>
    </font>
    <font>
      <b/>
      <sz val="10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color rgb="FF0070C0"/>
      <name val="Book Antiqua"/>
      <family val="1"/>
    </font>
    <font>
      <b/>
      <sz val="11"/>
      <color rgb="FFFF0000"/>
      <name val="Book Antiqua"/>
      <family val="1"/>
    </font>
    <font>
      <sz val="9"/>
      <name val="Book Antiqua"/>
      <family val="1"/>
    </font>
    <font>
      <b/>
      <sz val="14"/>
      <color theme="0"/>
      <name val="Book Antiqua"/>
      <family val="1"/>
    </font>
    <font>
      <sz val="11"/>
      <color theme="1"/>
      <name val="Book Antiqua"/>
      <family val="1"/>
    </font>
    <font>
      <sz val="11"/>
      <color rgb="FFFF0000"/>
      <name val="Book Antiqua"/>
      <family val="1"/>
    </font>
    <font>
      <sz val="16"/>
      <color rgb="FFFF0000"/>
      <name val="Book Antiqua"/>
      <family val="1"/>
    </font>
    <font>
      <sz val="14"/>
      <color rgb="FFFF0000"/>
      <name val="Book Antiqua"/>
      <family val="1"/>
    </font>
    <font>
      <b/>
      <sz val="11"/>
      <color theme="8" tint="-0.249977111117893"/>
      <name val="Book Antiqua"/>
      <family val="1"/>
    </font>
    <font>
      <b/>
      <sz val="20"/>
      <color theme="1"/>
      <name val="Book Antiqua"/>
      <family val="1"/>
    </font>
    <font>
      <sz val="20"/>
      <color theme="1"/>
      <name val="Book Antiqua"/>
      <family val="1"/>
    </font>
    <font>
      <b/>
      <sz val="18"/>
      <color rgb="FFFF0000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5" fillId="0" borderId="0" xfId="0" applyFont="1"/>
    <xf numFmtId="0" fontId="4" fillId="0" borderId="0" xfId="0" applyFont="1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/>
    <xf numFmtId="0" fontId="5" fillId="0" borderId="1" xfId="0" applyFont="1" applyBorder="1"/>
    <xf numFmtId="0" fontId="4" fillId="0" borderId="3" xfId="0" applyFont="1" applyBorder="1"/>
    <xf numFmtId="2" fontId="4" fillId="0" borderId="3" xfId="0" applyNumberFormat="1" applyFont="1" applyBorder="1"/>
    <xf numFmtId="9" fontId="4" fillId="0" borderId="3" xfId="0" applyNumberFormat="1" applyFont="1" applyBorder="1"/>
    <xf numFmtId="2" fontId="4" fillId="0" borderId="2" xfId="0" applyNumberFormat="1" applyFont="1" applyBorder="1"/>
    <xf numFmtId="9" fontId="4" fillId="0" borderId="1" xfId="0" applyNumberFormat="1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5" fillId="2" borderId="1" xfId="0" applyFont="1" applyFill="1" applyBorder="1"/>
    <xf numFmtId="0" fontId="4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2" fontId="4" fillId="0" borderId="3" xfId="0" applyNumberFormat="1" applyFont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2" fontId="8" fillId="0" borderId="3" xfId="0" applyNumberFormat="1" applyFont="1" applyBorder="1"/>
    <xf numFmtId="9" fontId="8" fillId="0" borderId="1" xfId="0" applyNumberFormat="1" applyFont="1" applyBorder="1"/>
    <xf numFmtId="2" fontId="8" fillId="0" borderId="2" xfId="0" applyNumberFormat="1" applyFont="1" applyBorder="1"/>
    <xf numFmtId="2" fontId="8" fillId="0" borderId="1" xfId="0" applyNumberFormat="1" applyFont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2" fontId="12" fillId="0" borderId="2" xfId="0" applyNumberFormat="1" applyFont="1" applyBorder="1"/>
    <xf numFmtId="2" fontId="12" fillId="0" borderId="1" xfId="0" applyNumberFormat="1" applyFont="1" applyBorder="1"/>
    <xf numFmtId="0" fontId="4" fillId="0" borderId="0" xfId="0" applyFont="1" applyAlignment="1">
      <alignment horizontal="center"/>
    </xf>
    <xf numFmtId="2" fontId="8" fillId="0" borderId="0" xfId="0" applyNumberFormat="1" applyFont="1"/>
    <xf numFmtId="0" fontId="8" fillId="0" borderId="0" xfId="0" applyFont="1"/>
    <xf numFmtId="2" fontId="4" fillId="0" borderId="0" xfId="0" applyNumberFormat="1" applyFont="1"/>
    <xf numFmtId="0" fontId="11" fillId="0" borderId="0" xfId="0" applyFont="1" applyAlignment="1">
      <alignment horizontal="left"/>
    </xf>
    <xf numFmtId="0" fontId="13" fillId="3" borderId="1" xfId="0" applyFont="1" applyFill="1" applyBorder="1" applyAlignment="1">
      <alignment horizontal="center"/>
    </xf>
    <xf numFmtId="2" fontId="13" fillId="3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2" fontId="11" fillId="2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16" fillId="0" borderId="0" xfId="0" applyFont="1"/>
    <xf numFmtId="0" fontId="17" fillId="2" borderId="0" xfId="0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2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2" fontId="14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2" fontId="14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2" fontId="9" fillId="2" borderId="1" xfId="0" applyNumberFormat="1" applyFont="1" applyFill="1" applyBorder="1" applyAlignment="1">
      <alignment horizontal="center"/>
    </xf>
    <xf numFmtId="2" fontId="9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9" fillId="0" borderId="0" xfId="0" applyFont="1" applyAlignment="1">
      <alignment horizontal="center" shrinkToFit="1"/>
    </xf>
    <xf numFmtId="0" fontId="20" fillId="0" borderId="0" xfId="0" applyFont="1" applyAlignment="1">
      <alignment horizontal="center" shrinkToFit="1"/>
    </xf>
    <xf numFmtId="0" fontId="2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152400</xdr:colOff>
      <xdr:row>0</xdr:row>
      <xdr:rowOff>99060</xdr:rowOff>
    </xdr:from>
    <xdr:ext cx="3261359" cy="1478280"/>
    <xdr:pic>
      <xdr:nvPicPr>
        <xdr:cNvPr id="4" name="Imagen 4">
          <a:extLst>
            <a:ext uri="{FF2B5EF4-FFF2-40B4-BE49-F238E27FC236}">
              <a16:creationId xmlns:a16="http://schemas.microsoft.com/office/drawing/2014/main" id="{ADDDB687-2E69-408F-9885-3DD715F86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2340" y="99060"/>
          <a:ext cx="3261359" cy="14782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A0AE-A1FB-42E7-8AA0-C8B57845C8D8}">
  <dimension ref="A1:L74"/>
  <sheetViews>
    <sheetView tabSelected="1" workbookViewId="0">
      <selection activeCell="D7" sqref="D7"/>
    </sheetView>
  </sheetViews>
  <sheetFormatPr defaultRowHeight="14.4" x14ac:dyDescent="0.3"/>
  <cols>
    <col min="1" max="1" width="11.6640625" customWidth="1"/>
    <col min="2" max="2" width="44.5546875" customWidth="1"/>
    <col min="3" max="3" width="7.21875" bestFit="1" customWidth="1"/>
    <col min="4" max="4" width="10.5546875" bestFit="1" customWidth="1"/>
    <col min="5" max="5" width="7.5546875" bestFit="1" customWidth="1"/>
    <col min="6" max="6" width="10.5546875" bestFit="1" customWidth="1"/>
    <col min="7" max="7" width="8.44140625" style="5" bestFit="1" customWidth="1"/>
    <col min="8" max="8" width="7.88671875" bestFit="1" customWidth="1"/>
    <col min="9" max="9" width="9.109375" bestFit="1" customWidth="1"/>
    <col min="10" max="10" width="5.6640625" bestFit="1" customWidth="1"/>
    <col min="11" max="11" width="9.109375" bestFit="1" customWidth="1"/>
    <col min="12" max="12" width="9.6640625" bestFit="1" customWidth="1"/>
  </cols>
  <sheetData>
    <row r="1" spans="1:12" x14ac:dyDescent="0.3">
      <c r="A1" s="1"/>
      <c r="B1" s="2"/>
      <c r="C1" s="2"/>
      <c r="D1" s="2"/>
      <c r="E1" s="2"/>
      <c r="F1" s="2"/>
      <c r="G1" s="3"/>
      <c r="H1" s="4"/>
      <c r="I1" s="4"/>
      <c r="J1" s="4"/>
      <c r="K1" s="4"/>
      <c r="L1" s="4"/>
    </row>
    <row r="2" spans="1:12" x14ac:dyDescent="0.3">
      <c r="A2" s="2"/>
      <c r="B2" s="2"/>
      <c r="C2" s="2"/>
      <c r="D2" s="2"/>
      <c r="E2" s="2"/>
      <c r="F2" s="2"/>
      <c r="G2" s="3"/>
      <c r="H2" s="4"/>
      <c r="I2" s="4"/>
      <c r="J2" s="4"/>
      <c r="K2" s="4"/>
      <c r="L2" s="4"/>
    </row>
    <row r="3" spans="1:12" x14ac:dyDescent="0.3">
      <c r="A3" s="2"/>
      <c r="B3" s="2"/>
      <c r="C3" s="2"/>
      <c r="D3" s="2"/>
      <c r="E3" s="2"/>
      <c r="F3" s="2"/>
      <c r="G3" s="3"/>
      <c r="H3" s="4"/>
      <c r="I3" s="4"/>
      <c r="J3" s="4"/>
      <c r="K3" s="4"/>
      <c r="L3" s="4"/>
    </row>
    <row r="4" spans="1:12" x14ac:dyDescent="0.3">
      <c r="A4" s="1"/>
      <c r="B4" s="2"/>
      <c r="C4" s="2"/>
      <c r="D4" s="2"/>
      <c r="E4" s="2"/>
      <c r="F4" s="2"/>
      <c r="G4" s="3"/>
      <c r="H4" s="4"/>
      <c r="I4" s="4"/>
      <c r="J4" s="4"/>
      <c r="K4" s="4"/>
      <c r="L4" s="4"/>
    </row>
    <row r="5" spans="1:12" ht="25.8" x14ac:dyDescent="0.5">
      <c r="A5" s="103" t="s">
        <v>83</v>
      </c>
      <c r="B5" s="104"/>
      <c r="C5" s="104"/>
      <c r="D5" s="104"/>
      <c r="E5" s="104"/>
      <c r="F5" s="104"/>
      <c r="G5" s="3"/>
      <c r="H5" s="4"/>
      <c r="I5" s="4"/>
      <c r="J5" s="4"/>
      <c r="K5" s="4"/>
      <c r="L5" s="4"/>
    </row>
    <row r="6" spans="1:12" x14ac:dyDescent="0.3">
      <c r="A6" s="1" t="s">
        <v>0</v>
      </c>
      <c r="B6" s="2"/>
      <c r="C6" s="2"/>
      <c r="D6" s="2"/>
      <c r="E6" s="2"/>
      <c r="F6" s="2"/>
      <c r="G6" s="3"/>
      <c r="H6" s="4"/>
      <c r="I6" s="4"/>
      <c r="J6" s="4"/>
      <c r="K6" s="4"/>
      <c r="L6" s="4"/>
    </row>
    <row r="7" spans="1:12" x14ac:dyDescent="0.3">
      <c r="A7" s="4"/>
      <c r="B7" s="4"/>
      <c r="D7" s="106">
        <v>45339</v>
      </c>
    </row>
    <row r="8" spans="1:12" ht="23.4" x14ac:dyDescent="0.45">
      <c r="A8" s="4"/>
      <c r="B8" s="105" t="s">
        <v>1</v>
      </c>
    </row>
    <row r="9" spans="1:12" ht="24" x14ac:dyDescent="0.3">
      <c r="A9" s="6" t="s">
        <v>2</v>
      </c>
      <c r="B9" s="7" t="s">
        <v>3</v>
      </c>
      <c r="C9" s="8" t="s">
        <v>4</v>
      </c>
      <c r="D9" s="8" t="s">
        <v>5</v>
      </c>
      <c r="E9" s="8" t="s">
        <v>6</v>
      </c>
      <c r="F9" s="7" t="s">
        <v>7</v>
      </c>
      <c r="G9" s="9" t="s">
        <v>8</v>
      </c>
      <c r="H9" s="10" t="s">
        <v>9</v>
      </c>
      <c r="I9" s="8" t="s">
        <v>10</v>
      </c>
      <c r="J9" s="11" t="s">
        <v>11</v>
      </c>
      <c r="K9" s="12"/>
      <c r="L9" s="13" t="s">
        <v>12</v>
      </c>
    </row>
    <row r="10" spans="1:12" x14ac:dyDescent="0.3">
      <c r="A10" s="14" t="s">
        <v>13</v>
      </c>
      <c r="B10" s="14"/>
      <c r="C10" s="15"/>
      <c r="D10" s="15"/>
      <c r="E10" s="15"/>
      <c r="F10" s="14"/>
      <c r="G10" s="16"/>
      <c r="H10" s="15"/>
      <c r="I10" s="15"/>
      <c r="J10" s="15" t="s">
        <v>14</v>
      </c>
      <c r="K10" s="17" t="s">
        <v>10</v>
      </c>
      <c r="L10" s="13"/>
    </row>
    <row r="11" spans="1:12" x14ac:dyDescent="0.3">
      <c r="A11" s="18"/>
      <c r="B11" s="19" t="s">
        <v>84</v>
      </c>
      <c r="C11" s="20" t="s">
        <v>15</v>
      </c>
      <c r="D11" s="21" t="s">
        <v>16</v>
      </c>
      <c r="E11" s="22">
        <v>351</v>
      </c>
      <c r="F11" s="23">
        <f>E11*F13</f>
        <v>351</v>
      </c>
      <c r="G11" s="24">
        <v>8</v>
      </c>
      <c r="H11" s="25">
        <f>E11*G11</f>
        <v>2808</v>
      </c>
      <c r="I11" s="26">
        <f>F11*G11</f>
        <v>2808</v>
      </c>
      <c r="J11" s="27">
        <v>0.05</v>
      </c>
      <c r="K11" s="28">
        <f>I11*J11</f>
        <v>140.4</v>
      </c>
      <c r="L11" s="23">
        <f>I11+K11</f>
        <v>2948.4</v>
      </c>
    </row>
    <row r="12" spans="1:12" x14ac:dyDescent="0.3">
      <c r="A12" s="18"/>
      <c r="B12" s="14" t="s">
        <v>17</v>
      </c>
      <c r="C12" s="21" t="s">
        <v>18</v>
      </c>
      <c r="D12" s="21"/>
      <c r="E12" s="21"/>
      <c r="F12" s="23"/>
      <c r="G12" s="24"/>
      <c r="H12" s="25"/>
      <c r="I12" s="26"/>
      <c r="J12" s="29"/>
      <c r="K12" s="28"/>
      <c r="L12" s="23"/>
    </row>
    <row r="13" spans="1:12" ht="18" x14ac:dyDescent="0.3">
      <c r="A13" s="30"/>
      <c r="B13" s="30"/>
      <c r="C13" s="21"/>
      <c r="D13" s="31"/>
      <c r="E13" s="31"/>
      <c r="F13" s="32">
        <v>1</v>
      </c>
      <c r="G13" s="33"/>
      <c r="H13" s="34">
        <f>SUM(H11:H12)</f>
        <v>2808</v>
      </c>
      <c r="I13" s="35">
        <f>SUM(I11:I12)</f>
        <v>2808</v>
      </c>
      <c r="J13" s="36"/>
      <c r="K13" s="37">
        <f>SUM(K11:K12)</f>
        <v>140.4</v>
      </c>
      <c r="L13" s="38">
        <f>SUM(L11:L12)</f>
        <v>2948.4</v>
      </c>
    </row>
    <row r="14" spans="1:12" x14ac:dyDescent="0.3">
      <c r="A14" s="30"/>
      <c r="B14" s="30"/>
      <c r="C14" s="31"/>
      <c r="D14" s="39"/>
      <c r="E14" s="40"/>
      <c r="F14" s="41"/>
      <c r="G14" s="33"/>
      <c r="H14" s="34"/>
      <c r="I14" s="35"/>
      <c r="J14" s="36"/>
      <c r="K14" s="37"/>
      <c r="L14" s="38"/>
    </row>
    <row r="15" spans="1:12" x14ac:dyDescent="0.3">
      <c r="A15" s="18"/>
      <c r="B15" s="18"/>
      <c r="C15" s="21"/>
      <c r="D15" s="42" t="s">
        <v>19</v>
      </c>
      <c r="E15" s="43"/>
      <c r="F15" s="44" t="s">
        <v>20</v>
      </c>
      <c r="G15" s="45">
        <f>I13/F13</f>
        <v>2808</v>
      </c>
      <c r="H15" s="25"/>
      <c r="I15" s="26"/>
      <c r="J15" s="29"/>
      <c r="K15" s="28"/>
      <c r="L15" s="23"/>
    </row>
    <row r="16" spans="1:12" x14ac:dyDescent="0.3">
      <c r="A16" s="18"/>
      <c r="B16" s="18"/>
      <c r="C16" s="21"/>
      <c r="D16" s="42" t="s">
        <v>21</v>
      </c>
      <c r="E16" s="43"/>
      <c r="F16" s="44" t="s">
        <v>20</v>
      </c>
      <c r="G16" s="45">
        <f>L13/F13</f>
        <v>2948.4</v>
      </c>
      <c r="H16" s="25"/>
      <c r="I16" s="26"/>
      <c r="J16" s="29"/>
      <c r="K16" s="28"/>
      <c r="L16" s="23"/>
    </row>
    <row r="17" spans="1:12" x14ac:dyDescent="0.3">
      <c r="A17" s="18"/>
      <c r="B17" s="18"/>
      <c r="C17" s="21"/>
      <c r="D17" s="46"/>
      <c r="E17" s="47"/>
      <c r="F17" s="44"/>
      <c r="G17" s="45"/>
      <c r="H17" s="25"/>
      <c r="I17" s="26"/>
      <c r="J17" s="29"/>
      <c r="K17" s="28"/>
      <c r="L17" s="23"/>
    </row>
    <row r="18" spans="1:12" x14ac:dyDescent="0.3">
      <c r="A18" s="14" t="s">
        <v>22</v>
      </c>
      <c r="B18" s="48" t="s">
        <v>23</v>
      </c>
      <c r="C18" s="49" t="str">
        <f>C11</f>
        <v>BLACK</v>
      </c>
      <c r="D18" s="21" t="s">
        <v>24</v>
      </c>
      <c r="E18" s="21">
        <v>0.85</v>
      </c>
      <c r="F18" s="23">
        <f>E18*F13</f>
        <v>0.85</v>
      </c>
      <c r="G18" s="24">
        <v>125</v>
      </c>
      <c r="H18" s="25">
        <f>E18*G18</f>
        <v>106.25</v>
      </c>
      <c r="I18" s="26">
        <f>F18*G18</f>
        <v>106.25</v>
      </c>
      <c r="J18" s="29">
        <v>0.12</v>
      </c>
      <c r="K18" s="28">
        <f t="shared" ref="K18:K19" si="0">I18*J18</f>
        <v>12.75</v>
      </c>
      <c r="L18" s="23">
        <f t="shared" ref="L18:L19" si="1">I18+K18</f>
        <v>119</v>
      </c>
    </row>
    <row r="19" spans="1:12" x14ac:dyDescent="0.3">
      <c r="A19" s="14"/>
      <c r="B19" s="48" t="s">
        <v>25</v>
      </c>
      <c r="C19" s="21" t="str">
        <f>C11</f>
        <v>BLACK</v>
      </c>
      <c r="D19" s="21" t="s">
        <v>24</v>
      </c>
      <c r="E19" s="21">
        <v>0.85</v>
      </c>
      <c r="F19" s="23">
        <f>E19*F13</f>
        <v>0.85</v>
      </c>
      <c r="G19" s="24">
        <v>65</v>
      </c>
      <c r="H19" s="25">
        <f>E19*G19</f>
        <v>55.25</v>
      </c>
      <c r="I19" s="26">
        <f>F19*G19</f>
        <v>55.25</v>
      </c>
      <c r="J19" s="29">
        <v>0.12</v>
      </c>
      <c r="K19" s="28">
        <f t="shared" si="0"/>
        <v>6.63</v>
      </c>
      <c r="L19" s="23">
        <f t="shared" si="1"/>
        <v>61.88</v>
      </c>
    </row>
    <row r="20" spans="1:12" x14ac:dyDescent="0.3">
      <c r="A20" s="14"/>
      <c r="B20" s="18" t="s">
        <v>82</v>
      </c>
      <c r="C20" s="21" t="str">
        <f>C12</f>
        <v>BROWN</v>
      </c>
      <c r="D20" s="21" t="s">
        <v>24</v>
      </c>
      <c r="E20" s="21">
        <v>0.5</v>
      </c>
      <c r="F20" s="23">
        <f>E20*F13</f>
        <v>0.5</v>
      </c>
      <c r="G20" s="24">
        <v>65</v>
      </c>
      <c r="H20" s="25">
        <f>E20*G20</f>
        <v>32.5</v>
      </c>
      <c r="I20" s="26">
        <f>F20*G20</f>
        <v>32.5</v>
      </c>
      <c r="J20" s="29">
        <v>0.12</v>
      </c>
      <c r="K20" s="28">
        <f t="shared" ref="K20" si="2">I20*J20</f>
        <v>3.9</v>
      </c>
      <c r="L20" s="23">
        <f t="shared" ref="L20" si="3">I20+K20</f>
        <v>36.4</v>
      </c>
    </row>
    <row r="21" spans="1:12" x14ac:dyDescent="0.3">
      <c r="A21" s="14"/>
      <c r="B21" s="18"/>
      <c r="C21" s="21"/>
      <c r="D21" s="21"/>
      <c r="E21" s="21"/>
      <c r="F21" s="23"/>
      <c r="G21" s="24"/>
      <c r="H21" s="25"/>
      <c r="I21" s="26"/>
      <c r="J21" s="29"/>
      <c r="K21" s="28"/>
      <c r="L21" s="23"/>
    </row>
    <row r="22" spans="1:12" x14ac:dyDescent="0.3">
      <c r="A22" s="14" t="s">
        <v>26</v>
      </c>
      <c r="B22" s="18" t="s">
        <v>27</v>
      </c>
      <c r="C22" s="49" t="str">
        <f>C11</f>
        <v>BLACK</v>
      </c>
      <c r="D22" s="21" t="s">
        <v>28</v>
      </c>
      <c r="E22" s="21">
        <v>100</v>
      </c>
      <c r="F22" s="23">
        <f>E22*F13</f>
        <v>100</v>
      </c>
      <c r="G22" s="24">
        <v>61</v>
      </c>
      <c r="H22" s="25">
        <f>F22/1000*G22/F13</f>
        <v>6.1000000000000005</v>
      </c>
      <c r="I22" s="26">
        <f>F22/1000*G22</f>
        <v>6.1000000000000005</v>
      </c>
      <c r="J22" s="29">
        <v>0.12</v>
      </c>
      <c r="K22" s="28">
        <f t="shared" ref="K22:K24" si="4">I22*J22</f>
        <v>0.73199999999999998</v>
      </c>
      <c r="L22" s="23">
        <f t="shared" ref="L22:L24" si="5">I22+K22</f>
        <v>6.8320000000000007</v>
      </c>
    </row>
    <row r="23" spans="1:12" x14ac:dyDescent="0.3">
      <c r="A23" s="14"/>
      <c r="B23" s="18" t="s">
        <v>29</v>
      </c>
      <c r="C23" s="49" t="str">
        <f>C11</f>
        <v>BLACK</v>
      </c>
      <c r="D23" s="21" t="s">
        <v>28</v>
      </c>
      <c r="E23" s="21">
        <v>100</v>
      </c>
      <c r="F23" s="23">
        <f>E23*F13</f>
        <v>100</v>
      </c>
      <c r="G23" s="24">
        <v>257</v>
      </c>
      <c r="H23" s="25">
        <f>F23/5000*G23/F13</f>
        <v>5.14</v>
      </c>
      <c r="I23" s="26">
        <f>F23/5000*G23</f>
        <v>5.14</v>
      </c>
      <c r="J23" s="29">
        <v>0.12</v>
      </c>
      <c r="K23" s="28">
        <f t="shared" si="4"/>
        <v>0.6167999999999999</v>
      </c>
      <c r="L23" s="23">
        <f t="shared" si="5"/>
        <v>5.7567999999999993</v>
      </c>
    </row>
    <row r="24" spans="1:12" x14ac:dyDescent="0.3">
      <c r="A24" s="14"/>
      <c r="B24" s="18" t="s">
        <v>30</v>
      </c>
      <c r="C24" s="49" t="str">
        <f>C11</f>
        <v>BLACK</v>
      </c>
      <c r="D24" s="21" t="s">
        <v>28</v>
      </c>
      <c r="E24" s="21">
        <v>50</v>
      </c>
      <c r="F24" s="23">
        <f>E24*F13</f>
        <v>50</v>
      </c>
      <c r="G24" s="24">
        <v>162</v>
      </c>
      <c r="H24" s="25">
        <f>F24/6000*G24/F13</f>
        <v>1.35</v>
      </c>
      <c r="I24" s="26">
        <f>F24/6000*G24</f>
        <v>1.35</v>
      </c>
      <c r="J24" s="29">
        <v>0.12</v>
      </c>
      <c r="K24" s="28">
        <f t="shared" si="4"/>
        <v>0.16200000000000001</v>
      </c>
      <c r="L24" s="23">
        <f t="shared" si="5"/>
        <v>1.512</v>
      </c>
    </row>
    <row r="25" spans="1:12" x14ac:dyDescent="0.3">
      <c r="A25" s="14"/>
      <c r="B25" s="18"/>
      <c r="C25" s="21"/>
      <c r="D25" s="21"/>
      <c r="E25" s="21"/>
      <c r="F25" s="23"/>
      <c r="G25" s="24"/>
      <c r="H25" s="25"/>
      <c r="I25" s="26"/>
      <c r="J25" s="29"/>
      <c r="K25" s="28"/>
      <c r="L25" s="23"/>
    </row>
    <row r="26" spans="1:12" x14ac:dyDescent="0.3">
      <c r="A26" s="14" t="s">
        <v>31</v>
      </c>
      <c r="B26" s="18" t="s">
        <v>31</v>
      </c>
      <c r="C26" s="21" t="s">
        <v>32</v>
      </c>
      <c r="D26" s="21" t="s">
        <v>33</v>
      </c>
      <c r="E26" s="21">
        <v>1</v>
      </c>
      <c r="F26" s="23">
        <f>E26*F13</f>
        <v>1</v>
      </c>
      <c r="G26" s="24">
        <v>14</v>
      </c>
      <c r="H26" s="25">
        <f>E26*G26</f>
        <v>14</v>
      </c>
      <c r="I26" s="26">
        <f>F26*G26</f>
        <v>14</v>
      </c>
      <c r="J26" s="29">
        <v>0.18</v>
      </c>
      <c r="K26" s="28">
        <f>I26*J26</f>
        <v>2.52</v>
      </c>
      <c r="L26" s="23">
        <f>I26+K26</f>
        <v>16.52</v>
      </c>
    </row>
    <row r="27" spans="1:12" x14ac:dyDescent="0.3">
      <c r="A27" s="14"/>
      <c r="B27" s="18" t="s">
        <v>34</v>
      </c>
      <c r="C27" s="21" t="s">
        <v>35</v>
      </c>
      <c r="D27" s="21" t="s">
        <v>36</v>
      </c>
      <c r="E27" s="21">
        <v>0.15</v>
      </c>
      <c r="F27" s="23">
        <f>E27*F13</f>
        <v>0.15</v>
      </c>
      <c r="G27" s="24">
        <v>88</v>
      </c>
      <c r="H27" s="25">
        <f>E27*G27</f>
        <v>13.2</v>
      </c>
      <c r="I27" s="26">
        <f>F27*G27</f>
        <v>13.2</v>
      </c>
      <c r="J27" s="29">
        <v>0.18</v>
      </c>
      <c r="K27" s="28">
        <f>I27*J27</f>
        <v>2.3759999999999999</v>
      </c>
      <c r="L27" s="23">
        <f>I27+K27</f>
        <v>15.575999999999999</v>
      </c>
    </row>
    <row r="28" spans="1:12" x14ac:dyDescent="0.3">
      <c r="A28" s="14"/>
      <c r="B28" s="18" t="s">
        <v>37</v>
      </c>
      <c r="C28" s="21" t="s">
        <v>38</v>
      </c>
      <c r="D28" s="21" t="s">
        <v>33</v>
      </c>
      <c r="E28" s="21">
        <v>3.75</v>
      </c>
      <c r="F28" s="23">
        <f>E28*F13</f>
        <v>3.75</v>
      </c>
      <c r="G28" s="24">
        <v>0.6875</v>
      </c>
      <c r="H28" s="25">
        <f>E28*G28</f>
        <v>2.578125</v>
      </c>
      <c r="I28" s="26">
        <f>F28*G28</f>
        <v>2.578125</v>
      </c>
      <c r="J28" s="29">
        <v>0.18</v>
      </c>
      <c r="K28" s="28">
        <f>I28*J28</f>
        <v>0.46406249999999999</v>
      </c>
      <c r="L28" s="23">
        <f>I28+K28</f>
        <v>3.0421874999999998</v>
      </c>
    </row>
    <row r="29" spans="1:12" x14ac:dyDescent="0.3">
      <c r="A29" s="14"/>
      <c r="B29" s="18"/>
      <c r="C29" s="21"/>
      <c r="D29" s="21"/>
      <c r="E29" s="21"/>
      <c r="F29" s="23"/>
      <c r="G29" s="24"/>
      <c r="H29" s="25"/>
      <c r="I29" s="26"/>
      <c r="J29" s="29"/>
      <c r="K29" s="28"/>
      <c r="L29" s="23"/>
    </row>
    <row r="30" spans="1:12" ht="28.8" x14ac:dyDescent="0.3">
      <c r="A30" s="14" t="s">
        <v>39</v>
      </c>
      <c r="B30" s="50" t="s">
        <v>40</v>
      </c>
      <c r="C30" s="21" t="str">
        <f>C11</f>
        <v>BLACK</v>
      </c>
      <c r="D30" s="21" t="s">
        <v>41</v>
      </c>
      <c r="E30" s="51">
        <v>1</v>
      </c>
      <c r="F30" s="52">
        <f>E30*F13</f>
        <v>1</v>
      </c>
      <c r="G30" s="53">
        <v>156.36000000000001</v>
      </c>
      <c r="H30" s="25">
        <f t="shared" ref="H30:H31" si="6">E30*G30</f>
        <v>156.36000000000001</v>
      </c>
      <c r="I30" s="26">
        <f>F30*G30</f>
        <v>156.36000000000001</v>
      </c>
      <c r="J30" s="29">
        <v>0.12</v>
      </c>
      <c r="K30" s="28">
        <f t="shared" ref="K30:K31" si="7">I30*J30</f>
        <v>18.763200000000001</v>
      </c>
      <c r="L30" s="23">
        <f t="shared" ref="L30:L31" si="8">I30+K30</f>
        <v>175.12320000000003</v>
      </c>
    </row>
    <row r="31" spans="1:12" ht="28.8" x14ac:dyDescent="0.3">
      <c r="A31" s="14"/>
      <c r="B31" s="50" t="s">
        <v>42</v>
      </c>
      <c r="C31" s="21" t="str">
        <f>C12</f>
        <v>BROWN</v>
      </c>
      <c r="D31" s="21" t="s">
        <v>41</v>
      </c>
      <c r="E31" s="51">
        <v>4</v>
      </c>
      <c r="F31" s="52">
        <f>E31*F13</f>
        <v>4</v>
      </c>
      <c r="G31" s="53">
        <v>57.93</v>
      </c>
      <c r="H31" s="25">
        <f t="shared" si="6"/>
        <v>231.72</v>
      </c>
      <c r="I31" s="26">
        <f>F31*G31</f>
        <v>231.72</v>
      </c>
      <c r="J31" s="29">
        <v>0.12</v>
      </c>
      <c r="K31" s="28">
        <f t="shared" si="7"/>
        <v>27.8064</v>
      </c>
      <c r="L31" s="23">
        <f t="shared" si="8"/>
        <v>259.52640000000002</v>
      </c>
    </row>
    <row r="32" spans="1:12" x14ac:dyDescent="0.3">
      <c r="A32" s="14"/>
      <c r="B32" s="50"/>
      <c r="C32" s="21"/>
      <c r="D32" s="21"/>
      <c r="E32" s="51" t="s">
        <v>81</v>
      </c>
      <c r="F32" s="52"/>
      <c r="G32" s="53"/>
      <c r="H32" s="25"/>
      <c r="I32" s="26"/>
      <c r="J32" s="29"/>
      <c r="K32" s="28"/>
      <c r="L32" s="23"/>
    </row>
    <row r="33" spans="1:12" x14ac:dyDescent="0.3">
      <c r="A33" s="18" t="s">
        <v>43</v>
      </c>
      <c r="B33" s="18" t="s">
        <v>44</v>
      </c>
      <c r="C33" s="21" t="s">
        <v>35</v>
      </c>
      <c r="D33" s="21" t="s">
        <v>41</v>
      </c>
      <c r="E33" s="21">
        <v>2</v>
      </c>
      <c r="F33" s="18">
        <f>E33*F13</f>
        <v>2</v>
      </c>
      <c r="G33" s="54">
        <v>6.5</v>
      </c>
      <c r="H33" s="18">
        <f>E33*G33</f>
        <v>13</v>
      </c>
      <c r="I33" s="26">
        <f>F33*G33</f>
        <v>13</v>
      </c>
      <c r="J33" s="29">
        <v>0.12</v>
      </c>
      <c r="K33" s="28">
        <f>I33*J33</f>
        <v>1.56</v>
      </c>
      <c r="L33" s="23">
        <f>I33+K33</f>
        <v>14.56</v>
      </c>
    </row>
    <row r="34" spans="1:12" x14ac:dyDescent="0.3">
      <c r="A34" s="18"/>
      <c r="B34" s="18" t="s">
        <v>45</v>
      </c>
      <c r="C34" s="21" t="s">
        <v>35</v>
      </c>
      <c r="D34" s="21" t="s">
        <v>41</v>
      </c>
      <c r="E34" s="21">
        <v>7</v>
      </c>
      <c r="F34" s="18">
        <f>E34*F13</f>
        <v>7</v>
      </c>
      <c r="G34" s="24">
        <v>10.19</v>
      </c>
      <c r="H34" s="18">
        <f>E34*G34</f>
        <v>71.33</v>
      </c>
      <c r="I34" s="26">
        <f>F34*G34</f>
        <v>71.33</v>
      </c>
      <c r="J34" s="29">
        <v>0.12</v>
      </c>
      <c r="K34" s="28">
        <f>I34*J34</f>
        <v>8.5595999999999997</v>
      </c>
      <c r="L34" s="23">
        <f>I34+K34</f>
        <v>79.889600000000002</v>
      </c>
    </row>
    <row r="35" spans="1:12" x14ac:dyDescent="0.3">
      <c r="A35" s="18"/>
      <c r="B35" s="18" t="s">
        <v>46</v>
      </c>
      <c r="C35" s="21" t="s">
        <v>35</v>
      </c>
      <c r="D35" s="21" t="s">
        <v>41</v>
      </c>
      <c r="E35" s="21">
        <v>1</v>
      </c>
      <c r="F35" s="18">
        <f>E35*F13</f>
        <v>1</v>
      </c>
      <c r="G35" s="24">
        <v>15</v>
      </c>
      <c r="H35" s="18">
        <f>E35*G35</f>
        <v>15</v>
      </c>
      <c r="I35" s="26">
        <f>F35*G35</f>
        <v>15</v>
      </c>
      <c r="J35" s="29">
        <v>0.12</v>
      </c>
      <c r="K35" s="28">
        <f>I35*J35</f>
        <v>1.7999999999999998</v>
      </c>
      <c r="L35" s="23">
        <f>I35+K35</f>
        <v>16.8</v>
      </c>
    </row>
    <row r="36" spans="1:12" x14ac:dyDescent="0.3">
      <c r="A36" s="18"/>
      <c r="B36" s="18"/>
      <c r="C36" s="21"/>
      <c r="D36" s="21"/>
      <c r="E36" s="21"/>
      <c r="F36" s="18"/>
      <c r="G36" s="24"/>
      <c r="H36" s="25"/>
      <c r="I36" s="26"/>
      <c r="J36" s="29"/>
      <c r="K36" s="28"/>
      <c r="L36" s="23"/>
    </row>
    <row r="37" spans="1:12" x14ac:dyDescent="0.3">
      <c r="A37" s="18" t="s">
        <v>47</v>
      </c>
      <c r="B37" s="18" t="s">
        <v>48</v>
      </c>
      <c r="C37" s="21" t="s">
        <v>35</v>
      </c>
      <c r="D37" s="21" t="s">
        <v>41</v>
      </c>
      <c r="E37" s="21">
        <v>1</v>
      </c>
      <c r="F37" s="23">
        <f>E37*F13</f>
        <v>1</v>
      </c>
      <c r="G37" s="24">
        <v>5</v>
      </c>
      <c r="H37" s="25">
        <f>E37*G37</f>
        <v>5</v>
      </c>
      <c r="I37" s="26">
        <f>F37*G37</f>
        <v>5</v>
      </c>
      <c r="J37" s="29">
        <v>0.12</v>
      </c>
      <c r="K37" s="28">
        <f>I37*J37</f>
        <v>0.6</v>
      </c>
      <c r="L37" s="23">
        <f>I37+K37</f>
        <v>5.6</v>
      </c>
    </row>
    <row r="38" spans="1:12" x14ac:dyDescent="0.3">
      <c r="A38" s="18"/>
      <c r="B38" s="18" t="s">
        <v>49</v>
      </c>
      <c r="C38" s="21" t="s">
        <v>35</v>
      </c>
      <c r="D38" s="21" t="s">
        <v>41</v>
      </c>
      <c r="E38" s="21">
        <v>1</v>
      </c>
      <c r="F38" s="23">
        <f>E38*F13</f>
        <v>1</v>
      </c>
      <c r="G38" s="24">
        <v>3.5</v>
      </c>
      <c r="H38" s="25">
        <f>E38*G38</f>
        <v>3.5</v>
      </c>
      <c r="I38" s="26">
        <f>F38*G38</f>
        <v>3.5</v>
      </c>
      <c r="J38" s="29">
        <v>0.12</v>
      </c>
      <c r="K38" s="28">
        <f>I38*J38</f>
        <v>0.42</v>
      </c>
      <c r="L38" s="23">
        <f>I38+K38</f>
        <v>3.92</v>
      </c>
    </row>
    <row r="39" spans="1:12" x14ac:dyDescent="0.3">
      <c r="A39" s="14"/>
      <c r="B39" s="18" t="s">
        <v>50</v>
      </c>
      <c r="C39" s="21" t="s">
        <v>35</v>
      </c>
      <c r="D39" s="21" t="s">
        <v>41</v>
      </c>
      <c r="E39" s="21">
        <v>1</v>
      </c>
      <c r="F39" s="23">
        <f>E39*F13</f>
        <v>1</v>
      </c>
      <c r="G39" s="24">
        <v>4</v>
      </c>
      <c r="H39" s="25">
        <v>4</v>
      </c>
      <c r="I39" s="26">
        <f>F39*G39</f>
        <v>4</v>
      </c>
      <c r="J39" s="29">
        <v>0.12</v>
      </c>
      <c r="K39" s="28">
        <f>I39*J39</f>
        <v>0.48</v>
      </c>
      <c r="L39" s="23">
        <f>I39+K39</f>
        <v>4.4800000000000004</v>
      </c>
    </row>
    <row r="40" spans="1:12" x14ac:dyDescent="0.3">
      <c r="A40" s="14"/>
      <c r="B40" s="18"/>
      <c r="C40" s="21"/>
      <c r="D40" s="21"/>
      <c r="E40" s="21"/>
      <c r="F40" s="23"/>
      <c r="G40" s="24"/>
      <c r="H40" s="18"/>
      <c r="I40" s="23"/>
      <c r="J40" s="29"/>
      <c r="K40" s="23"/>
      <c r="L40" s="23"/>
    </row>
    <row r="41" spans="1:12" ht="30" customHeight="1" x14ac:dyDescent="0.3">
      <c r="A41" s="55" t="s">
        <v>51</v>
      </c>
      <c r="B41" s="30" t="s">
        <v>52</v>
      </c>
      <c r="C41" s="31" t="s">
        <v>35</v>
      </c>
      <c r="D41" s="31" t="s">
        <v>41</v>
      </c>
      <c r="E41" s="31">
        <v>1</v>
      </c>
      <c r="F41" s="56">
        <f>F13</f>
        <v>1</v>
      </c>
      <c r="G41" s="33">
        <v>5</v>
      </c>
      <c r="H41" s="57">
        <f t="shared" ref="H41:H46" si="9">E41*G41</f>
        <v>5</v>
      </c>
      <c r="I41" s="58">
        <f>F41*G41</f>
        <v>5</v>
      </c>
      <c r="J41" s="59">
        <v>0.18</v>
      </c>
      <c r="K41" s="60">
        <f t="shared" ref="K41:K46" si="10">I41*J41</f>
        <v>0.89999999999999991</v>
      </c>
      <c r="L41" s="56">
        <f t="shared" ref="L41:L47" si="11">I41+K41</f>
        <v>5.9</v>
      </c>
    </row>
    <row r="42" spans="1:12" x14ac:dyDescent="0.3">
      <c r="A42" s="18"/>
      <c r="B42" s="18" t="s">
        <v>53</v>
      </c>
      <c r="C42" s="21" t="s">
        <v>35</v>
      </c>
      <c r="D42" s="21" t="s">
        <v>41</v>
      </c>
      <c r="E42" s="21">
        <v>1</v>
      </c>
      <c r="F42" s="23">
        <f>F13</f>
        <v>1</v>
      </c>
      <c r="G42" s="24">
        <v>1</v>
      </c>
      <c r="H42" s="25">
        <f t="shared" si="9"/>
        <v>1</v>
      </c>
      <c r="I42" s="26">
        <f t="shared" ref="I42:I43" si="12">F42*G42</f>
        <v>1</v>
      </c>
      <c r="J42" s="29">
        <v>0.18</v>
      </c>
      <c r="K42" s="28">
        <f t="shared" si="10"/>
        <v>0.18</v>
      </c>
      <c r="L42" s="23">
        <f t="shared" si="11"/>
        <v>1.18</v>
      </c>
    </row>
    <row r="43" spans="1:12" x14ac:dyDescent="0.3">
      <c r="A43" s="18"/>
      <c r="B43" s="18" t="s">
        <v>54</v>
      </c>
      <c r="C43" s="21" t="s">
        <v>35</v>
      </c>
      <c r="D43" s="21" t="s">
        <v>55</v>
      </c>
      <c r="E43" s="21">
        <v>1</v>
      </c>
      <c r="F43" s="23">
        <f>E43*F13</f>
        <v>1</v>
      </c>
      <c r="G43" s="24">
        <v>12</v>
      </c>
      <c r="H43" s="25">
        <f t="shared" si="9"/>
        <v>12</v>
      </c>
      <c r="I43" s="26">
        <f t="shared" si="12"/>
        <v>12</v>
      </c>
      <c r="J43" s="29">
        <v>0.18</v>
      </c>
      <c r="K43" s="28">
        <f t="shared" si="10"/>
        <v>2.16</v>
      </c>
      <c r="L43" s="23">
        <f t="shared" si="11"/>
        <v>14.16</v>
      </c>
    </row>
    <row r="44" spans="1:12" x14ac:dyDescent="0.3">
      <c r="A44" s="18"/>
      <c r="B44" s="18" t="s">
        <v>56</v>
      </c>
      <c r="C44" s="21" t="s">
        <v>35</v>
      </c>
      <c r="D44" s="21" t="s">
        <v>55</v>
      </c>
      <c r="E44" s="21">
        <v>0.2</v>
      </c>
      <c r="F44" s="23">
        <f>E44*F13</f>
        <v>0.2</v>
      </c>
      <c r="G44" s="24">
        <v>115</v>
      </c>
      <c r="H44" s="25">
        <v>15</v>
      </c>
      <c r="I44" s="26">
        <f>H44*F13</f>
        <v>15</v>
      </c>
      <c r="J44" s="29">
        <v>0.18</v>
      </c>
      <c r="K44" s="28">
        <f t="shared" si="10"/>
        <v>2.6999999999999997</v>
      </c>
      <c r="L44" s="23">
        <f t="shared" si="11"/>
        <v>17.7</v>
      </c>
    </row>
    <row r="45" spans="1:12" x14ac:dyDescent="0.3">
      <c r="A45" s="18"/>
      <c r="B45" s="18" t="s">
        <v>57</v>
      </c>
      <c r="C45" s="21" t="s">
        <v>35</v>
      </c>
      <c r="D45" s="21" t="s">
        <v>58</v>
      </c>
      <c r="E45" s="21">
        <v>2</v>
      </c>
      <c r="F45" s="23">
        <f>E45*F13</f>
        <v>2</v>
      </c>
      <c r="G45" s="24">
        <v>1.35</v>
      </c>
      <c r="H45" s="25">
        <f t="shared" si="9"/>
        <v>2.7</v>
      </c>
      <c r="I45" s="26">
        <f>F45*G45</f>
        <v>2.7</v>
      </c>
      <c r="J45" s="29">
        <v>0.18</v>
      </c>
      <c r="K45" s="28">
        <f t="shared" si="10"/>
        <v>0.48599999999999999</v>
      </c>
      <c r="L45" s="23">
        <f t="shared" si="11"/>
        <v>3.1859999999999999</v>
      </c>
    </row>
    <row r="46" spans="1:12" x14ac:dyDescent="0.3">
      <c r="A46" s="18"/>
      <c r="B46" s="18" t="s">
        <v>59</v>
      </c>
      <c r="C46" s="21" t="s">
        <v>35</v>
      </c>
      <c r="D46" s="21" t="s">
        <v>41</v>
      </c>
      <c r="E46" s="21">
        <v>7.0000000000000007E-2</v>
      </c>
      <c r="F46" s="23">
        <f>E46*F13</f>
        <v>7.0000000000000007E-2</v>
      </c>
      <c r="G46" s="24">
        <v>168</v>
      </c>
      <c r="H46" s="25">
        <f t="shared" si="9"/>
        <v>11.760000000000002</v>
      </c>
      <c r="I46" s="26">
        <f>F46*G46</f>
        <v>11.760000000000002</v>
      </c>
      <c r="J46" s="29">
        <v>0.18</v>
      </c>
      <c r="K46" s="28">
        <f t="shared" si="10"/>
        <v>2.1168</v>
      </c>
      <c r="L46" s="23">
        <f t="shared" si="11"/>
        <v>13.876800000000001</v>
      </c>
    </row>
    <row r="47" spans="1:12" x14ac:dyDescent="0.3">
      <c r="A47" s="18"/>
      <c r="B47" s="18" t="s">
        <v>60</v>
      </c>
      <c r="C47" s="21" t="s">
        <v>18</v>
      </c>
      <c r="D47" s="21" t="s">
        <v>61</v>
      </c>
      <c r="E47" s="21">
        <f>0.1</f>
        <v>0.1</v>
      </c>
      <c r="F47" s="23">
        <f>E47*F13</f>
        <v>0.1</v>
      </c>
      <c r="G47" s="24">
        <v>54</v>
      </c>
      <c r="H47" s="25">
        <f>E47*G47</f>
        <v>5.4</v>
      </c>
      <c r="I47" s="26">
        <f>F47*G47</f>
        <v>5.4</v>
      </c>
      <c r="J47" s="29">
        <v>0.18</v>
      </c>
      <c r="K47" s="28">
        <f>I47*J47</f>
        <v>0.97199999999999998</v>
      </c>
      <c r="L47" s="23">
        <f t="shared" si="11"/>
        <v>6.3719999999999999</v>
      </c>
    </row>
    <row r="48" spans="1:12" x14ac:dyDescent="0.3">
      <c r="A48" s="18"/>
      <c r="B48" s="18"/>
      <c r="C48" s="21"/>
      <c r="D48" s="21"/>
      <c r="E48" s="21"/>
      <c r="F48" s="23"/>
      <c r="G48" s="24"/>
      <c r="H48" s="61">
        <f>SUM(H18:H47)</f>
        <v>789.13812500000006</v>
      </c>
      <c r="I48" s="61">
        <f>SUM(I18:I47)</f>
        <v>789.13812500000006</v>
      </c>
      <c r="J48" s="62"/>
      <c r="K48" s="63">
        <f>SUM(K18:K47)</f>
        <v>99.654862500000007</v>
      </c>
      <c r="L48" s="64">
        <f>SUM(L18:L47)</f>
        <v>888.79298749999987</v>
      </c>
    </row>
    <row r="49" spans="1:12" x14ac:dyDescent="0.3">
      <c r="A49" s="18" t="s">
        <v>62</v>
      </c>
      <c r="B49" s="18" t="s">
        <v>63</v>
      </c>
      <c r="C49" s="22"/>
      <c r="D49" s="21" t="s">
        <v>41</v>
      </c>
      <c r="E49" s="21">
        <f>C49*5%</f>
        <v>0</v>
      </c>
      <c r="F49" s="23">
        <f>F13</f>
        <v>1</v>
      </c>
      <c r="G49" s="24">
        <f>E49</f>
        <v>0</v>
      </c>
      <c r="H49" s="26">
        <f>G49</f>
        <v>0</v>
      </c>
      <c r="I49" s="26">
        <f>H49*F49</f>
        <v>0</v>
      </c>
      <c r="J49" s="29">
        <v>0.18</v>
      </c>
      <c r="K49" s="28">
        <f t="shared" ref="K49:K55" si="13">I49*J49</f>
        <v>0</v>
      </c>
      <c r="L49" s="23">
        <f t="shared" ref="L49:L55" si="14">I49+K49</f>
        <v>0</v>
      </c>
    </row>
    <row r="50" spans="1:12" x14ac:dyDescent="0.3">
      <c r="A50" s="18"/>
      <c r="B50" s="18" t="s">
        <v>64</v>
      </c>
      <c r="C50" s="22"/>
      <c r="D50" s="21" t="s">
        <v>41</v>
      </c>
      <c r="E50" s="21">
        <f>C50*6.6%</f>
        <v>0</v>
      </c>
      <c r="F50" s="23">
        <f>F13</f>
        <v>1</v>
      </c>
      <c r="G50" s="24">
        <f t="shared" ref="G50:G53" si="15">E50</f>
        <v>0</v>
      </c>
      <c r="H50" s="26">
        <f t="shared" ref="H50:H54" si="16">G50</f>
        <v>0</v>
      </c>
      <c r="I50" s="26">
        <f>H50*F50</f>
        <v>0</v>
      </c>
      <c r="J50" s="29"/>
      <c r="K50" s="28">
        <f t="shared" si="13"/>
        <v>0</v>
      </c>
      <c r="L50" s="23">
        <f t="shared" si="14"/>
        <v>0</v>
      </c>
    </row>
    <row r="51" spans="1:12" x14ac:dyDescent="0.3">
      <c r="A51" s="18"/>
      <c r="B51" s="18" t="s">
        <v>65</v>
      </c>
      <c r="C51" s="22"/>
      <c r="D51" s="21" t="s">
        <v>41</v>
      </c>
      <c r="E51" s="21">
        <f>C51*10%</f>
        <v>0</v>
      </c>
      <c r="F51" s="23">
        <f>F13</f>
        <v>1</v>
      </c>
      <c r="G51" s="24">
        <f t="shared" si="15"/>
        <v>0</v>
      </c>
      <c r="H51" s="26">
        <f t="shared" si="16"/>
        <v>0</v>
      </c>
      <c r="I51" s="26">
        <f>H51*F51</f>
        <v>0</v>
      </c>
      <c r="J51" s="18"/>
      <c r="K51" s="28">
        <f t="shared" si="13"/>
        <v>0</v>
      </c>
      <c r="L51" s="23">
        <f t="shared" si="14"/>
        <v>0</v>
      </c>
    </row>
    <row r="52" spans="1:12" x14ac:dyDescent="0.3">
      <c r="A52" s="14" t="s">
        <v>66</v>
      </c>
      <c r="B52" s="18" t="s">
        <v>67</v>
      </c>
      <c r="C52" s="22"/>
      <c r="D52" s="21" t="s">
        <v>41</v>
      </c>
      <c r="E52" s="21">
        <f>C52*2.5%</f>
        <v>0</v>
      </c>
      <c r="F52" s="23">
        <f>F13</f>
        <v>1</v>
      </c>
      <c r="G52" s="24">
        <f t="shared" si="15"/>
        <v>0</v>
      </c>
      <c r="H52" s="26">
        <f t="shared" si="16"/>
        <v>0</v>
      </c>
      <c r="I52" s="26">
        <f t="shared" ref="I52:I55" si="17">H52*F52</f>
        <v>0</v>
      </c>
      <c r="J52" s="18"/>
      <c r="K52" s="28">
        <f t="shared" si="13"/>
        <v>0</v>
      </c>
      <c r="L52" s="23">
        <f t="shared" si="14"/>
        <v>0</v>
      </c>
    </row>
    <row r="53" spans="1:12" x14ac:dyDescent="0.3">
      <c r="A53" s="18"/>
      <c r="B53" s="18" t="s">
        <v>68</v>
      </c>
      <c r="C53" s="22"/>
      <c r="D53" s="21" t="s">
        <v>41</v>
      </c>
      <c r="E53" s="21">
        <f>C53*2%</f>
        <v>0</v>
      </c>
      <c r="F53" s="23">
        <f>F13</f>
        <v>1</v>
      </c>
      <c r="G53" s="24">
        <f t="shared" si="15"/>
        <v>0</v>
      </c>
      <c r="H53" s="26">
        <f t="shared" si="16"/>
        <v>0</v>
      </c>
      <c r="I53" s="26">
        <f t="shared" si="17"/>
        <v>0</v>
      </c>
      <c r="J53" s="18"/>
      <c r="K53" s="28">
        <f t="shared" si="13"/>
        <v>0</v>
      </c>
      <c r="L53" s="23">
        <f t="shared" si="14"/>
        <v>0</v>
      </c>
    </row>
    <row r="54" spans="1:12" x14ac:dyDescent="0.3">
      <c r="A54" s="18"/>
      <c r="B54" s="18" t="s">
        <v>69</v>
      </c>
      <c r="C54" s="22"/>
      <c r="D54" s="21" t="s">
        <v>41</v>
      </c>
      <c r="E54" s="21">
        <v>1000</v>
      </c>
      <c r="F54" s="23">
        <f>F13</f>
        <v>1</v>
      </c>
      <c r="G54" s="24">
        <f>E54</f>
        <v>1000</v>
      </c>
      <c r="H54" s="26">
        <f t="shared" si="16"/>
        <v>1000</v>
      </c>
      <c r="I54" s="26">
        <f t="shared" si="17"/>
        <v>1000</v>
      </c>
      <c r="J54" s="18"/>
      <c r="K54" s="28">
        <f t="shared" si="13"/>
        <v>0</v>
      </c>
      <c r="L54" s="23">
        <f t="shared" si="14"/>
        <v>1000</v>
      </c>
    </row>
    <row r="55" spans="1:12" x14ac:dyDescent="0.3">
      <c r="A55" s="18" t="s">
        <v>70</v>
      </c>
      <c r="B55" s="65" t="s">
        <v>71</v>
      </c>
      <c r="C55" s="66"/>
      <c r="D55" s="66" t="s">
        <v>41</v>
      </c>
      <c r="E55" s="66">
        <v>50</v>
      </c>
      <c r="F55" s="23">
        <f>F13</f>
        <v>1</v>
      </c>
      <c r="G55" s="24">
        <f>E55*F13</f>
        <v>50</v>
      </c>
      <c r="H55" s="26">
        <f>G55</f>
        <v>50</v>
      </c>
      <c r="I55" s="26">
        <f t="shared" si="17"/>
        <v>50</v>
      </c>
      <c r="J55" s="65"/>
      <c r="K55" s="67">
        <f t="shared" si="13"/>
        <v>0</v>
      </c>
      <c r="L55" s="68">
        <f t="shared" si="14"/>
        <v>50</v>
      </c>
    </row>
    <row r="56" spans="1:12" x14ac:dyDescent="0.3">
      <c r="A56" s="4"/>
      <c r="B56" s="4"/>
      <c r="C56" s="69"/>
      <c r="D56" s="69"/>
      <c r="E56" s="69"/>
      <c r="F56" s="70">
        <f>F13</f>
        <v>1</v>
      </c>
      <c r="G56" s="3"/>
      <c r="H56" s="70">
        <f>SUM(H48:H55)</f>
        <v>1839.1381249999999</v>
      </c>
      <c r="I56" s="70">
        <f>SUM(I48:I55)</f>
        <v>1839.1381249999999</v>
      </c>
      <c r="J56" s="71"/>
      <c r="K56" s="70">
        <f>SUM(K48:K55)</f>
        <v>99.654862500000007</v>
      </c>
      <c r="L56" s="70">
        <f>SUM(L48:L55)</f>
        <v>1938.7929875</v>
      </c>
    </row>
    <row r="57" spans="1:12" x14ac:dyDescent="0.3">
      <c r="A57" s="4"/>
      <c r="B57" s="4"/>
      <c r="C57" s="69"/>
      <c r="D57" s="69"/>
      <c r="E57" s="69"/>
      <c r="F57" s="4"/>
      <c r="G57" s="3"/>
      <c r="H57" s="72"/>
      <c r="I57" s="72"/>
    </row>
    <row r="58" spans="1:12" x14ac:dyDescent="0.3">
      <c r="A58" s="4"/>
      <c r="B58" s="4"/>
      <c r="C58" s="69"/>
      <c r="D58" s="69"/>
      <c r="E58" s="69"/>
      <c r="F58" s="4"/>
      <c r="G58" s="73" t="s">
        <v>72</v>
      </c>
      <c r="H58" s="4"/>
      <c r="I58" s="72"/>
      <c r="J58" s="4"/>
      <c r="K58" s="72"/>
      <c r="L58" s="4"/>
    </row>
    <row r="59" spans="1:12" ht="18" x14ac:dyDescent="0.35">
      <c r="A59" s="74" t="s">
        <v>73</v>
      </c>
      <c r="B59" s="75">
        <v>60</v>
      </c>
      <c r="C59" s="76" t="s">
        <v>74</v>
      </c>
      <c r="D59" s="76"/>
      <c r="E59" s="76"/>
      <c r="F59" s="76"/>
      <c r="G59" s="77">
        <f>G15</f>
        <v>2808</v>
      </c>
      <c r="H59" s="69"/>
      <c r="I59" s="69"/>
      <c r="J59" s="4"/>
      <c r="K59" s="4"/>
      <c r="L59" s="4"/>
    </row>
    <row r="60" spans="1:12" ht="18" x14ac:dyDescent="0.35">
      <c r="A60" s="74">
        <v>78</v>
      </c>
      <c r="B60" s="74">
        <f>B59*A60</f>
        <v>4680</v>
      </c>
      <c r="C60" s="76" t="s">
        <v>75</v>
      </c>
      <c r="D60" s="76"/>
      <c r="E60" s="76"/>
      <c r="F60" s="76"/>
      <c r="G60" s="77">
        <f>I56/F13</f>
        <v>1839.1381249999999</v>
      </c>
      <c r="H60" s="69"/>
      <c r="I60" s="69"/>
      <c r="J60" s="4"/>
      <c r="K60" s="4"/>
      <c r="L60" s="4"/>
    </row>
    <row r="61" spans="1:12" x14ac:dyDescent="0.3">
      <c r="A61" s="4"/>
      <c r="B61" s="4"/>
      <c r="C61" s="78" t="s">
        <v>76</v>
      </c>
      <c r="D61" s="78"/>
      <c r="E61" s="78"/>
      <c r="F61" s="78"/>
      <c r="G61" s="79">
        <f>SUM(G59:G60)</f>
        <v>4647.1381249999995</v>
      </c>
      <c r="H61" s="69"/>
      <c r="I61" s="69"/>
      <c r="J61" s="4"/>
      <c r="K61" s="4"/>
      <c r="L61" s="4"/>
    </row>
    <row r="62" spans="1:12" x14ac:dyDescent="0.3">
      <c r="A62" s="4"/>
      <c r="B62" s="4"/>
      <c r="C62" s="4"/>
      <c r="G62" s="80"/>
      <c r="H62" s="69"/>
      <c r="I62" s="69"/>
      <c r="J62" s="4"/>
      <c r="K62" s="4"/>
      <c r="L62" s="4"/>
    </row>
    <row r="63" spans="1:12" ht="21" x14ac:dyDescent="0.4">
      <c r="A63" s="4"/>
      <c r="B63" s="81"/>
      <c r="C63" s="4"/>
      <c r="G63" s="82">
        <f>G61/A60</f>
        <v>59.578693910256405</v>
      </c>
      <c r="H63" s="83"/>
      <c r="I63" s="69"/>
      <c r="J63" s="4"/>
      <c r="K63" s="4"/>
      <c r="L63" s="4"/>
    </row>
    <row r="64" spans="1:12" ht="21" x14ac:dyDescent="0.4">
      <c r="A64" s="4"/>
      <c r="B64" s="81"/>
      <c r="G64" s="84"/>
      <c r="H64" s="69"/>
      <c r="I64" s="69"/>
      <c r="J64" s="4"/>
      <c r="K64" s="4"/>
      <c r="L64" s="4"/>
    </row>
    <row r="65" spans="1:12" x14ac:dyDescent="0.3">
      <c r="A65" s="4"/>
      <c r="D65" s="85" t="s">
        <v>77</v>
      </c>
      <c r="E65" s="69"/>
      <c r="F65" s="86"/>
      <c r="G65" s="84"/>
      <c r="H65" s="69"/>
      <c r="I65" s="69"/>
      <c r="J65" s="4"/>
      <c r="K65" s="4"/>
      <c r="L65" s="4"/>
    </row>
    <row r="66" spans="1:12" x14ac:dyDescent="0.3">
      <c r="A66" s="4"/>
      <c r="D66" s="87" t="s">
        <v>78</v>
      </c>
      <c r="E66" s="88">
        <f>I56/F56</f>
        <v>1839.1381249999999</v>
      </c>
      <c r="F66" s="89" t="s">
        <v>20</v>
      </c>
      <c r="G66" s="84"/>
      <c r="H66" s="69"/>
      <c r="I66" s="69"/>
      <c r="J66" s="4"/>
      <c r="K66" s="4"/>
      <c r="L66" s="4"/>
    </row>
    <row r="67" spans="1:12" x14ac:dyDescent="0.3">
      <c r="A67" s="4"/>
      <c r="B67" s="4"/>
      <c r="C67" s="4"/>
      <c r="D67" s="87" t="s">
        <v>21</v>
      </c>
      <c r="E67" s="88">
        <f>L56/F56</f>
        <v>1938.7929875</v>
      </c>
      <c r="F67" s="89" t="s">
        <v>20</v>
      </c>
      <c r="G67" s="84"/>
      <c r="H67" s="69"/>
      <c r="I67" s="69"/>
      <c r="J67" s="4"/>
      <c r="K67" s="4"/>
      <c r="L67" s="4"/>
    </row>
    <row r="68" spans="1:12" x14ac:dyDescent="0.3">
      <c r="A68" s="4"/>
      <c r="B68" s="4"/>
      <c r="C68" s="69"/>
      <c r="D68" s="90"/>
      <c r="E68" s="86"/>
      <c r="F68" s="86"/>
      <c r="G68" s="3"/>
      <c r="H68" s="4"/>
      <c r="I68" s="4"/>
      <c r="J68" s="4"/>
      <c r="K68" s="4"/>
      <c r="L68" s="4"/>
    </row>
    <row r="69" spans="1:12" x14ac:dyDescent="0.3">
      <c r="D69" s="91" t="s">
        <v>21</v>
      </c>
      <c r="E69" s="92"/>
      <c r="F69" s="93" t="s">
        <v>19</v>
      </c>
    </row>
    <row r="70" spans="1:12" x14ac:dyDescent="0.3">
      <c r="B70" s="76" t="s">
        <v>79</v>
      </c>
      <c r="C70" s="76"/>
      <c r="D70" s="94">
        <f>G16</f>
        <v>2948.4</v>
      </c>
      <c r="E70" s="95"/>
      <c r="F70" s="96">
        <f>G15</f>
        <v>2808</v>
      </c>
    </row>
    <row r="71" spans="1:12" x14ac:dyDescent="0.3">
      <c r="B71" s="97" t="s">
        <v>80</v>
      </c>
      <c r="C71" s="98"/>
      <c r="D71" s="94">
        <f>E67</f>
        <v>1938.7929875</v>
      </c>
      <c r="E71" s="95"/>
      <c r="F71" s="96">
        <f>E66</f>
        <v>1839.1381249999999</v>
      </c>
    </row>
    <row r="72" spans="1:12" x14ac:dyDescent="0.3">
      <c r="B72" s="99" t="s">
        <v>76</v>
      </c>
      <c r="C72" s="99"/>
      <c r="D72" s="100">
        <f>SUM(D70:D71)</f>
        <v>4887.1929875000005</v>
      </c>
      <c r="E72" s="92"/>
      <c r="F72" s="101">
        <f>SUM(F70:F71)</f>
        <v>4647.1381249999995</v>
      </c>
    </row>
    <row r="73" spans="1:12" x14ac:dyDescent="0.3">
      <c r="D73" s="102"/>
      <c r="E73" s="69"/>
      <c r="F73" s="86"/>
    </row>
    <row r="74" spans="1:12" x14ac:dyDescent="0.3">
      <c r="D74" s="69">
        <f>D72/A60</f>
        <v>62.656320352564109</v>
      </c>
      <c r="E74" s="69"/>
      <c r="F74" s="4">
        <f>F72/A60</f>
        <v>59.578693910256405</v>
      </c>
    </row>
  </sheetData>
  <mergeCells count="15">
    <mergeCell ref="C61:F61"/>
    <mergeCell ref="B70:C70"/>
    <mergeCell ref="B71:C71"/>
    <mergeCell ref="J9:K9"/>
    <mergeCell ref="L9:L10"/>
    <mergeCell ref="D15:E15"/>
    <mergeCell ref="D16:E16"/>
    <mergeCell ref="C59:F59"/>
    <mergeCell ref="C60:F60"/>
    <mergeCell ref="A1:F1"/>
    <mergeCell ref="A2:F2"/>
    <mergeCell ref="A3:F3"/>
    <mergeCell ref="A4:F4"/>
    <mergeCell ref="A5:F5"/>
    <mergeCell ref="A6:F6"/>
  </mergeCells>
  <pageMargins left="0.31496062992125984" right="0.31496062992125984" top="0.35433070866141736" bottom="0.35433070866141736" header="0.31496062992125984" footer="0.31496062992125984"/>
  <pageSetup paperSize="9" scale="90" orientation="landscape" verticalDpi="0" r:id="rId1"/>
  <ignoredErrors>
    <ignoredError sqref="K48:L4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Zahoor Ahmed</dc:creator>
  <cp:lastModifiedBy>Zahoor Ahmed</cp:lastModifiedBy>
  <cp:lastPrinted>2024-02-17T04:44:01Z</cp:lastPrinted>
  <dcterms:created xsi:type="dcterms:W3CDTF">2024-02-17T04:34:05Z</dcterms:created>
  <dcterms:modified xsi:type="dcterms:W3CDTF">2024-02-17T04:48:19Z</dcterms:modified>
</cp:coreProperties>
</file>