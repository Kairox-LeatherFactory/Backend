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PTE\2026-27\QUOTATION SHEET\"/>
    </mc:Choice>
  </mc:AlternateContent>
  <xr:revisionPtr revIDLastSave="0" documentId="13_ncr:1_{C20768D6-D1D4-4E1B-B9E1-AE39FEFC0E7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Original" sheetId="1" r:id="rId1"/>
  </sheets>
  <definedNames>
    <definedName name="_xlnm.Print_Area" localSheetId="0">Original!$B$1:$I$40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0" i="1" l="1"/>
  <c r="H32" i="1" l="1"/>
  <c r="H31" i="1"/>
  <c r="H30" i="1"/>
  <c r="H19" i="1"/>
  <c r="H18" i="1"/>
  <c r="H17" i="1"/>
  <c r="H29" i="1"/>
  <c r="H28" i="1"/>
  <c r="H16" i="1"/>
  <c r="H11" i="1" l="1"/>
  <c r="H40" i="1" s="1"/>
  <c r="C7" i="1" l="1"/>
</calcChain>
</file>

<file path=xl/sharedStrings.xml><?xml version="1.0" encoding="utf-8"?>
<sst xmlns="http://schemas.openxmlformats.org/spreadsheetml/2006/main" count="47" uniqueCount="47">
  <si>
    <t xml:space="preserve">Brand </t>
    <phoneticPr fontId="3"/>
  </si>
  <si>
    <t>Style No.</t>
    <phoneticPr fontId="3"/>
  </si>
  <si>
    <t>Factory</t>
    <phoneticPr fontId="3"/>
  </si>
  <si>
    <t>No. or Name</t>
    <phoneticPr fontId="3"/>
  </si>
  <si>
    <t>Yardage</t>
    <phoneticPr fontId="3"/>
  </si>
  <si>
    <t>Unit</t>
    <phoneticPr fontId="3"/>
  </si>
  <si>
    <t>Sample</t>
    <phoneticPr fontId="3"/>
  </si>
  <si>
    <t>Mass</t>
    <phoneticPr fontId="3"/>
  </si>
  <si>
    <t>Main Material</t>
    <phoneticPr fontId="3"/>
  </si>
  <si>
    <t>Sub-Material</t>
    <phoneticPr fontId="2" type="noConversion"/>
  </si>
  <si>
    <t>Manufacturing cost</t>
  </si>
  <si>
    <t xml:space="preserve">TOTAL </t>
  </si>
  <si>
    <t>FUSING INTER LINING</t>
  </si>
  <si>
    <t>FOB CHARGE</t>
  </si>
  <si>
    <t>Garment Price Quatation: FOB</t>
  </si>
  <si>
    <t>Domstic Price</t>
  </si>
  <si>
    <t xml:space="preserve">PAKKAR TANVEER EXPORTS </t>
  </si>
  <si>
    <t>Dear zahoor</t>
  </si>
  <si>
    <t>Please send cost sheet with $64.29 </t>
  </si>
  <si>
    <t>The price is conformed </t>
  </si>
  <si>
    <t>As I can’t do anything as the boss has requested </t>
  </si>
  <si>
    <t>Regards</t>
  </si>
  <si>
    <t>Thanveer </t>
  </si>
  <si>
    <t>LINING</t>
  </si>
  <si>
    <t>THREADS</t>
  </si>
  <si>
    <t>Packaging cost</t>
  </si>
  <si>
    <t>CUTTING AND STICHING</t>
  </si>
  <si>
    <t xml:space="preserve">BOX, POLY COVER , TISSUE PAPER </t>
  </si>
  <si>
    <t>INTERLINING</t>
  </si>
  <si>
    <t>THREAD</t>
  </si>
  <si>
    <t>CRIMIE</t>
  </si>
  <si>
    <t>ACCESSORIES</t>
  </si>
  <si>
    <t>Yardage and Price Quatation</t>
  </si>
  <si>
    <t xml:space="preserve">                                                                                          </t>
  </si>
  <si>
    <t>BUYER MATERIAL DUTY + CLEARING  CHARGES</t>
  </si>
  <si>
    <t xml:space="preserve">NON WOVEN BODY AND SLEEVE </t>
  </si>
  <si>
    <t>CRI 02F5 JK26</t>
  </si>
  <si>
    <t>SHEEP GLASS COL BLACK</t>
  </si>
  <si>
    <t xml:space="preserve">SOFT WADDING 80 GSM BODY </t>
  </si>
  <si>
    <t xml:space="preserve">SOFT WADDING 80 GSM SLEEVE </t>
  </si>
  <si>
    <t>QUILTING CHARGES PER MTR</t>
  </si>
  <si>
    <t xml:space="preserve">POLYSTER LINING, BODY  SLEEVE , POCKET </t>
  </si>
  <si>
    <t>MAIN ZIPPER</t>
  </si>
  <si>
    <t>CHEST POCKET ZIPPER</t>
  </si>
  <si>
    <t>RIVETS</t>
  </si>
  <si>
    <t>CUFF BUTTONS</t>
  </si>
  <si>
    <t>BUCKLES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</si>
</sst>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/m/d;@"/>
    <numFmt numFmtId="165" formatCode="&quot;US$&quot;#,##0.00_);\(&quot;US$&quot;#,##0.00\)"/>
    <numFmt numFmtId="166" formatCode="0.0"/>
  </numFmts>
  <fonts count="13" x14ac:knownFonts="1">
    <font>
      <sz val="12"/>
      <name val="新細明體"/>
      <family val="1"/>
      <charset val="136"/>
    </font>
    <font>
      <sz val="6"/>
      <name val="ＭＳ Ｐ明朝"/>
      <family val="1"/>
      <charset val="128"/>
    </font>
    <font>
      <sz val="9"/>
      <name val="新細明體"/>
      <family val="1"/>
      <charset val="136"/>
    </font>
    <font>
      <sz val="6"/>
      <name val="ＭＳ Ｐゴシック"/>
      <family val="2"/>
    </font>
    <font>
      <b/>
      <sz val="12"/>
      <color indexed="10"/>
      <name val="Microsoft JhengHei Light"/>
      <family val="2"/>
    </font>
    <font>
      <b/>
      <sz val="12"/>
      <name val="Microsoft JhengHei Light"/>
      <family val="2"/>
    </font>
    <font>
      <b/>
      <u/>
      <sz val="12"/>
      <name val="Microsoft JhengHei Light"/>
      <family val="2"/>
    </font>
    <font>
      <b/>
      <sz val="12"/>
      <color indexed="8"/>
      <name val="Microsoft JhengHei Light"/>
      <family val="2"/>
    </font>
    <font>
      <b/>
      <sz val="12"/>
      <color rgb="FFFF0000"/>
      <name val="Microsoft JhengHei Light"/>
      <family val="2"/>
    </font>
    <font>
      <b/>
      <sz val="12"/>
      <color rgb="FF1F497D"/>
      <name val="Microsoft JhengHei Light"/>
      <family val="2"/>
    </font>
    <font>
      <b/>
      <u/>
      <sz val="13"/>
      <color rgb="FFC00000"/>
      <name val="Microsoft JhengHei Light"/>
      <family val="2"/>
    </font>
    <font>
      <b/>
      <sz val="10"/>
      <color indexed="8"/>
      <name val="Microsoft JhengHei Light"/>
      <family val="2"/>
    </font>
    <font>
      <sz val="12"/>
      <name val="Microsoft JhengHei Light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5" fillId="0" borderId="0" xfId="0" applyFont="1"/>
    <xf numFmtId="0" fontId="7" fillId="0" borderId="5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9" xfId="0" applyFont="1" applyBorder="1" applyAlignment="1">
      <alignment vertical="center"/>
    </xf>
    <xf numFmtId="0" fontId="7" fillId="0" borderId="14" xfId="0" applyFont="1" applyBorder="1" applyAlignment="1">
      <alignment vertical="center"/>
    </xf>
    <xf numFmtId="0" fontId="8" fillId="2" borderId="0" xfId="0" applyFont="1" applyFill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right" vertical="center"/>
    </xf>
    <xf numFmtId="0" fontId="7" fillId="0" borderId="2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shrinkToFit="1"/>
    </xf>
    <xf numFmtId="2" fontId="5" fillId="0" borderId="6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7" fillId="0" borderId="5" xfId="0" applyFont="1" applyBorder="1" applyAlignment="1">
      <alignment horizontal="left" vertical="center"/>
    </xf>
    <xf numFmtId="0" fontId="9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0" fillId="0" borderId="6" xfId="0" applyFont="1" applyBorder="1" applyAlignment="1">
      <alignment horizontal="center" vertical="center" shrinkToFit="1"/>
    </xf>
    <xf numFmtId="0" fontId="7" fillId="0" borderId="7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166" fontId="5" fillId="0" borderId="6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5" fillId="0" borderId="6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7" fillId="0" borderId="5" xfId="0" applyFont="1" applyBorder="1" applyAlignment="1">
      <alignment vertical="center" shrinkToFit="1"/>
    </xf>
    <xf numFmtId="0" fontId="7" fillId="0" borderId="6" xfId="0" applyFont="1" applyBorder="1" applyAlignment="1">
      <alignment horizontal="center" vertical="center"/>
    </xf>
    <xf numFmtId="0" fontId="7" fillId="0" borderId="5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  <xf numFmtId="0" fontId="11" fillId="0" borderId="7" xfId="0" applyFont="1" applyBorder="1" applyAlignment="1">
      <alignment horizontal="left" vertical="center"/>
    </xf>
    <xf numFmtId="0" fontId="11" fillId="0" borderId="9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12" fillId="0" borderId="6" xfId="0" applyFont="1" applyBorder="1" applyAlignment="1">
      <alignment horizontal="center" vertical="center"/>
    </xf>
    <xf numFmtId="2" fontId="12" fillId="0" borderId="6" xfId="0" applyNumberFormat="1" applyFont="1" applyBorder="1" applyAlignment="1">
      <alignment horizontal="center" vertical="center"/>
    </xf>
    <xf numFmtId="166" fontId="12" fillId="0" borderId="6" xfId="0" applyNumberFormat="1" applyFont="1" applyBorder="1" applyAlignment="1">
      <alignment horizontal="center" vertical="center"/>
    </xf>
    <xf numFmtId="0" fontId="11" fillId="0" borderId="7" xfId="0" applyFont="1" applyBorder="1" applyAlignment="1">
      <alignment horizontal="left" vertical="center"/>
    </xf>
    <xf numFmtId="0" fontId="11" fillId="0" borderId="9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 shrinkToFit="1"/>
    </xf>
    <xf numFmtId="0" fontId="8" fillId="0" borderId="9" xfId="0" applyFont="1" applyBorder="1" applyAlignment="1">
      <alignment horizontal="left" vertical="center" shrinkToFit="1"/>
    </xf>
    <xf numFmtId="0" fontId="8" fillId="0" borderId="14" xfId="0" applyFont="1" applyBorder="1" applyAlignment="1">
      <alignment horizontal="left" vertical="center" shrinkToFit="1"/>
    </xf>
    <xf numFmtId="0" fontId="7" fillId="0" borderId="7" xfId="0" applyFont="1" applyBorder="1" applyAlignment="1">
      <alignment vertical="center"/>
    </xf>
    <xf numFmtId="0" fontId="7" fillId="0" borderId="9" xfId="0" applyFont="1" applyBorder="1" applyAlignment="1">
      <alignment vertical="center"/>
    </xf>
    <xf numFmtId="0" fontId="7" fillId="0" borderId="14" xfId="0" applyFont="1" applyBorder="1" applyAlignment="1">
      <alignment vertical="center"/>
    </xf>
    <xf numFmtId="165" fontId="7" fillId="0" borderId="7" xfId="0" applyNumberFormat="1" applyFont="1" applyBorder="1" applyAlignment="1">
      <alignment horizontal="center" vertical="center" shrinkToFit="1"/>
    </xf>
    <xf numFmtId="165" fontId="4" fillId="0" borderId="9" xfId="0" applyNumberFormat="1" applyFont="1" applyBorder="1" applyAlignment="1">
      <alignment horizontal="center" vertical="center" shrinkToFit="1"/>
    </xf>
    <xf numFmtId="165" fontId="4" fillId="0" borderId="10" xfId="0" applyNumberFormat="1" applyFont="1" applyBorder="1" applyAlignment="1">
      <alignment horizontal="center" vertical="center" shrinkToFit="1"/>
    </xf>
    <xf numFmtId="165" fontId="7" fillId="2" borderId="7" xfId="0" applyNumberFormat="1" applyFont="1" applyFill="1" applyBorder="1" applyAlignment="1">
      <alignment horizontal="center" vertical="center" shrinkToFit="1"/>
    </xf>
    <xf numFmtId="165" fontId="4" fillId="2" borderId="9" xfId="0" applyNumberFormat="1" applyFont="1" applyFill="1" applyBorder="1" applyAlignment="1">
      <alignment horizontal="center" vertical="center" shrinkToFit="1"/>
    </xf>
    <xf numFmtId="165" fontId="4" fillId="2" borderId="10" xfId="0" applyNumberFormat="1" applyFont="1" applyFill="1" applyBorder="1" applyAlignment="1">
      <alignment horizontal="center" vertical="center" shrinkToFit="1"/>
    </xf>
    <xf numFmtId="0" fontId="7" fillId="0" borderId="7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8" fillId="0" borderId="7" xfId="0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/>
    </xf>
    <xf numFmtId="0" fontId="5" fillId="0" borderId="1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164" fontId="5" fillId="0" borderId="0" xfId="0" applyNumberFormat="1" applyFont="1" applyAlignment="1">
      <alignment horizontal="right"/>
    </xf>
    <xf numFmtId="0" fontId="7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</xdr:row>
      <xdr:rowOff>57150</xdr:rowOff>
    </xdr:from>
    <xdr:to>
      <xdr:col>9</xdr:col>
      <xdr:colOff>5139</xdr:colOff>
      <xdr:row>7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40E0120-6985-9E6F-AE71-4C03D032C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666750"/>
          <a:ext cx="1643439" cy="1104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47"/>
  <sheetViews>
    <sheetView tabSelected="1" topLeftCell="A23" workbookViewId="0">
      <selection activeCell="G12" sqref="G12"/>
    </sheetView>
  </sheetViews>
  <sheetFormatPr defaultRowHeight="15.75" x14ac:dyDescent="0.25"/>
  <cols>
    <col min="1" max="1" width="5.25" style="1" customWidth="1"/>
    <col min="2" max="2" width="21.625" style="1" customWidth="1"/>
    <col min="3" max="3" width="9" style="1"/>
    <col min="4" max="4" width="28.875" style="1" customWidth="1"/>
    <col min="5" max="5" width="13.875" style="1" customWidth="1"/>
    <col min="6" max="6" width="12" style="1" customWidth="1"/>
    <col min="7" max="7" width="6.625" style="9" customWidth="1"/>
    <col min="8" max="8" width="7.375" style="9" customWidth="1"/>
    <col min="9" max="9" width="7.5" style="1" customWidth="1"/>
    <col min="10" max="10" width="2.75" style="1" customWidth="1"/>
    <col min="11" max="16384" width="9" style="1"/>
  </cols>
  <sheetData>
    <row r="1" spans="2:9" x14ac:dyDescent="0.25">
      <c r="B1" s="66"/>
      <c r="C1" s="66"/>
      <c r="D1" s="66"/>
      <c r="E1" s="66"/>
      <c r="F1" s="66"/>
      <c r="G1" s="66"/>
      <c r="H1" s="66"/>
      <c r="I1" s="66"/>
    </row>
    <row r="2" spans="2:9" x14ac:dyDescent="0.25">
      <c r="B2" s="67" t="s">
        <v>32</v>
      </c>
      <c r="C2" s="67"/>
      <c r="D2" s="67"/>
      <c r="E2" s="67"/>
      <c r="F2" s="67"/>
      <c r="G2" s="67"/>
      <c r="H2" s="67"/>
      <c r="I2" s="67"/>
    </row>
    <row r="3" spans="2:9" ht="16.5" thickBot="1" x14ac:dyDescent="0.3">
      <c r="B3" s="67"/>
      <c r="C3" s="67"/>
      <c r="D3" s="67"/>
      <c r="E3" s="67"/>
      <c r="F3" s="67"/>
      <c r="G3" s="67"/>
      <c r="H3" s="67"/>
      <c r="I3" s="67"/>
    </row>
    <row r="4" spans="2:9" x14ac:dyDescent="0.25">
      <c r="B4" s="32" t="s">
        <v>0</v>
      </c>
      <c r="C4" s="68" t="s">
        <v>30</v>
      </c>
      <c r="D4" s="69"/>
      <c r="E4" s="70"/>
      <c r="F4" s="71"/>
      <c r="G4" s="61"/>
      <c r="H4" s="62"/>
      <c r="I4" s="62"/>
    </row>
    <row r="5" spans="2:9" ht="19.5" customHeight="1" x14ac:dyDescent="0.25">
      <c r="B5" s="15" t="s">
        <v>1</v>
      </c>
      <c r="C5" s="72" t="s">
        <v>36</v>
      </c>
      <c r="D5" s="73"/>
      <c r="E5" s="74"/>
      <c r="F5" s="75"/>
      <c r="G5" s="61"/>
      <c r="H5" s="62"/>
      <c r="I5" s="62"/>
    </row>
    <row r="6" spans="2:9" x14ac:dyDescent="0.25">
      <c r="B6" s="15" t="s">
        <v>15</v>
      </c>
      <c r="C6" s="49"/>
      <c r="D6" s="50"/>
      <c r="E6" s="50"/>
      <c r="F6" s="51"/>
      <c r="G6" s="61"/>
      <c r="H6" s="62"/>
      <c r="I6" s="62"/>
    </row>
    <row r="7" spans="2:9" ht="33" customHeight="1" x14ac:dyDescent="0.25">
      <c r="B7" s="31" t="s">
        <v>14</v>
      </c>
      <c r="C7" s="49">
        <f>H40</f>
        <v>118.60000000000001</v>
      </c>
      <c r="D7" s="50"/>
      <c r="E7" s="50"/>
      <c r="F7" s="51"/>
      <c r="G7" s="61"/>
      <c r="H7" s="62"/>
      <c r="I7" s="62"/>
    </row>
    <row r="8" spans="2:9" ht="16.5" thickBot="1" x14ac:dyDescent="0.3">
      <c r="B8" s="33" t="s">
        <v>2</v>
      </c>
      <c r="C8" s="52" t="s">
        <v>16</v>
      </c>
      <c r="D8" s="53"/>
      <c r="E8" s="53"/>
      <c r="F8" s="54"/>
      <c r="G8" s="61"/>
      <c r="H8" s="62"/>
      <c r="I8" s="62"/>
    </row>
    <row r="9" spans="2:9" ht="16.5" thickBot="1" x14ac:dyDescent="0.3">
      <c r="I9" s="10"/>
    </row>
    <row r="10" spans="2:9" ht="24.95" customHeight="1" x14ac:dyDescent="0.25">
      <c r="B10" s="23"/>
      <c r="C10" s="63" t="s">
        <v>3</v>
      </c>
      <c r="D10" s="64"/>
      <c r="E10" s="65"/>
      <c r="F10" s="7" t="s">
        <v>4</v>
      </c>
      <c r="G10" s="11" t="s">
        <v>5</v>
      </c>
      <c r="H10" s="11" t="s">
        <v>6</v>
      </c>
      <c r="I10" s="8" t="s">
        <v>7</v>
      </c>
    </row>
    <row r="11" spans="2:9" ht="24.95" customHeight="1" x14ac:dyDescent="0.25">
      <c r="B11" s="24" t="s">
        <v>8</v>
      </c>
      <c r="C11" s="43" t="s">
        <v>37</v>
      </c>
      <c r="D11" s="44"/>
      <c r="E11" s="45"/>
      <c r="F11" s="12">
        <v>39</v>
      </c>
      <c r="G11" s="13">
        <v>1.8</v>
      </c>
      <c r="H11" s="14">
        <f>F11*G11</f>
        <v>70.2</v>
      </c>
      <c r="I11" s="25"/>
    </row>
    <row r="12" spans="2:9" ht="24.95" customHeight="1" x14ac:dyDescent="0.25">
      <c r="B12" s="24"/>
      <c r="C12" s="58"/>
      <c r="D12" s="59"/>
      <c r="E12" s="60"/>
      <c r="F12" s="12"/>
      <c r="G12" s="18"/>
      <c r="H12" s="14"/>
      <c r="I12" s="25"/>
    </row>
    <row r="13" spans="2:9" ht="24.95" customHeight="1" x14ac:dyDescent="0.25">
      <c r="B13" s="24"/>
      <c r="C13" s="55"/>
      <c r="D13" s="56"/>
      <c r="E13" s="57"/>
      <c r="F13" s="26"/>
      <c r="G13" s="14"/>
      <c r="H13" s="14"/>
      <c r="I13" s="27"/>
    </row>
    <row r="14" spans="2:9" ht="24.95" customHeight="1" x14ac:dyDescent="0.25">
      <c r="B14" s="28" t="s">
        <v>9</v>
      </c>
      <c r="C14" s="46"/>
      <c r="D14" s="47"/>
      <c r="E14" s="48"/>
      <c r="F14" s="26"/>
      <c r="G14" s="14"/>
      <c r="H14" s="14"/>
      <c r="I14" s="27"/>
    </row>
    <row r="15" spans="2:9" ht="24.95" customHeight="1" x14ac:dyDescent="0.25">
      <c r="B15" s="2" t="s">
        <v>23</v>
      </c>
      <c r="C15" s="3"/>
      <c r="D15" s="4"/>
      <c r="E15" s="5"/>
      <c r="F15" s="14"/>
      <c r="G15" s="13"/>
      <c r="H15" s="13"/>
      <c r="I15" s="27"/>
    </row>
    <row r="16" spans="2:9" ht="24.95" customHeight="1" x14ac:dyDescent="0.25">
      <c r="B16" s="2"/>
      <c r="C16" s="34" t="s">
        <v>41</v>
      </c>
      <c r="D16" s="35"/>
      <c r="E16" s="36"/>
      <c r="F16" s="38">
        <v>2</v>
      </c>
      <c r="G16" s="37">
        <v>1.5</v>
      </c>
      <c r="H16" s="14">
        <f>F16*G16</f>
        <v>3</v>
      </c>
      <c r="I16" s="27"/>
    </row>
    <row r="17" spans="2:14" ht="24.95" customHeight="1" x14ac:dyDescent="0.25">
      <c r="B17" s="2"/>
      <c r="C17" s="40" t="s">
        <v>38</v>
      </c>
      <c r="D17" s="41"/>
      <c r="E17" s="42"/>
      <c r="F17" s="38">
        <v>1</v>
      </c>
      <c r="G17" s="37">
        <v>1.4</v>
      </c>
      <c r="H17" s="14">
        <f>F17*G17</f>
        <v>1.4</v>
      </c>
      <c r="I17" s="27"/>
    </row>
    <row r="18" spans="2:14" ht="24.95" customHeight="1" x14ac:dyDescent="0.25">
      <c r="B18" s="2"/>
      <c r="C18" s="40" t="s">
        <v>39</v>
      </c>
      <c r="D18" s="41"/>
      <c r="E18" s="42"/>
      <c r="F18" s="38">
        <v>1</v>
      </c>
      <c r="G18" s="37">
        <v>1.4</v>
      </c>
      <c r="H18" s="14">
        <f>F18*G18</f>
        <v>1.4</v>
      </c>
      <c r="I18" s="27"/>
    </row>
    <row r="19" spans="2:14" ht="24.95" customHeight="1" x14ac:dyDescent="0.25">
      <c r="B19" s="2"/>
      <c r="C19" s="40" t="s">
        <v>35</v>
      </c>
      <c r="D19" s="41"/>
      <c r="E19" s="42"/>
      <c r="F19" s="38">
        <v>2</v>
      </c>
      <c r="G19" s="37">
        <v>0.3</v>
      </c>
      <c r="H19" s="14">
        <f>F19*G19</f>
        <v>0.6</v>
      </c>
      <c r="I19" s="27"/>
      <c r="N19" s="1" t="s">
        <v>33</v>
      </c>
    </row>
    <row r="20" spans="2:14" ht="24.95" customHeight="1" x14ac:dyDescent="0.25">
      <c r="B20" s="2"/>
      <c r="C20" s="40" t="s">
        <v>40</v>
      </c>
      <c r="D20" s="41"/>
      <c r="E20" s="42"/>
      <c r="F20" s="38">
        <v>1</v>
      </c>
      <c r="G20" s="39">
        <v>2</v>
      </c>
      <c r="H20" s="22">
        <f>F20*G20</f>
        <v>2</v>
      </c>
      <c r="I20" s="27"/>
    </row>
    <row r="21" spans="2:14" ht="24.95" customHeight="1" x14ac:dyDescent="0.25">
      <c r="B21" s="2"/>
      <c r="C21" s="34"/>
      <c r="D21" s="35"/>
      <c r="E21" s="36"/>
      <c r="F21" s="38"/>
      <c r="G21" s="37"/>
      <c r="H21" s="38"/>
      <c r="I21" s="27"/>
    </row>
    <row r="22" spans="2:14" ht="24.95" customHeight="1" x14ac:dyDescent="0.25">
      <c r="B22" s="2"/>
      <c r="C22" s="76"/>
      <c r="D22" s="77"/>
      <c r="E22" s="78"/>
      <c r="F22" s="13"/>
      <c r="G22" s="14"/>
      <c r="H22" s="13"/>
      <c r="I22" s="27"/>
    </row>
    <row r="23" spans="2:14" ht="24.95" customHeight="1" x14ac:dyDescent="0.25">
      <c r="B23" s="29" t="s">
        <v>28</v>
      </c>
      <c r="C23" s="76" t="s">
        <v>12</v>
      </c>
      <c r="D23" s="77"/>
      <c r="E23" s="78"/>
      <c r="F23" s="14">
        <v>1</v>
      </c>
      <c r="G23" s="14"/>
      <c r="H23" s="13">
        <v>1</v>
      </c>
      <c r="I23" s="27"/>
    </row>
    <row r="24" spans="2:14" ht="24.95" customHeight="1" x14ac:dyDescent="0.25">
      <c r="B24" s="29"/>
      <c r="C24" s="76"/>
      <c r="D24" s="77"/>
      <c r="E24" s="78"/>
      <c r="F24" s="14"/>
      <c r="G24" s="14"/>
      <c r="H24" s="13"/>
      <c r="I24" s="27"/>
    </row>
    <row r="25" spans="2:14" ht="24.95" customHeight="1" x14ac:dyDescent="0.25">
      <c r="B25" s="2"/>
      <c r="C25" s="55"/>
      <c r="D25" s="56"/>
      <c r="E25" s="57"/>
      <c r="F25" s="14"/>
      <c r="G25" s="14"/>
      <c r="H25" s="13"/>
      <c r="I25" s="27"/>
    </row>
    <row r="26" spans="2:14" ht="24.95" customHeight="1" x14ac:dyDescent="0.25">
      <c r="B26" s="2" t="s">
        <v>24</v>
      </c>
      <c r="C26" s="76" t="s">
        <v>29</v>
      </c>
      <c r="D26" s="77"/>
      <c r="E26" s="78"/>
      <c r="F26" s="14">
        <v>1</v>
      </c>
      <c r="G26" s="14"/>
      <c r="H26" s="13">
        <v>1</v>
      </c>
      <c r="I26" s="27"/>
    </row>
    <row r="27" spans="2:14" ht="24.95" customHeight="1" x14ac:dyDescent="0.25">
      <c r="B27" s="2"/>
      <c r="C27" s="55"/>
      <c r="D27" s="56"/>
      <c r="E27" s="57"/>
      <c r="F27" s="14"/>
      <c r="G27" s="14"/>
      <c r="H27" s="13"/>
      <c r="I27" s="27"/>
    </row>
    <row r="28" spans="2:14" ht="24.95" customHeight="1" x14ac:dyDescent="0.25">
      <c r="B28" s="15" t="s">
        <v>31</v>
      </c>
      <c r="C28" s="76" t="s">
        <v>42</v>
      </c>
      <c r="D28" s="77"/>
      <c r="E28" s="78"/>
      <c r="F28" s="14">
        <v>1</v>
      </c>
      <c r="G28" s="14">
        <v>0</v>
      </c>
      <c r="H28" s="13">
        <f t="shared" ref="H28:H32" si="0">G28*F28</f>
        <v>0</v>
      </c>
      <c r="I28" s="27"/>
    </row>
    <row r="29" spans="2:14" ht="24.95" customHeight="1" x14ac:dyDescent="0.25">
      <c r="B29" s="2"/>
      <c r="C29" s="76" t="s">
        <v>43</v>
      </c>
      <c r="D29" s="77"/>
      <c r="E29" s="78"/>
      <c r="F29" s="14">
        <v>1</v>
      </c>
      <c r="G29" s="14">
        <v>0</v>
      </c>
      <c r="H29" s="13">
        <f t="shared" si="0"/>
        <v>0</v>
      </c>
      <c r="I29" s="27"/>
    </row>
    <row r="30" spans="2:14" ht="24.95" customHeight="1" x14ac:dyDescent="0.25">
      <c r="B30" s="2"/>
      <c r="C30" s="76" t="s">
        <v>44</v>
      </c>
      <c r="D30" s="77"/>
      <c r="E30" s="78"/>
      <c r="F30" s="14">
        <v>4</v>
      </c>
      <c r="G30" s="14">
        <v>0</v>
      </c>
      <c r="H30" s="13">
        <f t="shared" si="0"/>
        <v>0</v>
      </c>
      <c r="I30" s="27"/>
    </row>
    <row r="31" spans="2:14" ht="24.95" customHeight="1" x14ac:dyDescent="0.25">
      <c r="B31" s="2"/>
      <c r="C31" s="76" t="s">
        <v>45</v>
      </c>
      <c r="D31" s="77"/>
      <c r="E31" s="78"/>
      <c r="F31" s="14">
        <v>4</v>
      </c>
      <c r="G31" s="14">
        <v>0</v>
      </c>
      <c r="H31" s="13">
        <f t="shared" si="0"/>
        <v>0</v>
      </c>
      <c r="I31" s="27"/>
    </row>
    <row r="32" spans="2:14" ht="24.95" customHeight="1" x14ac:dyDescent="0.25">
      <c r="B32" s="15"/>
      <c r="C32" s="76" t="s">
        <v>46</v>
      </c>
      <c r="D32" s="77"/>
      <c r="E32" s="78"/>
      <c r="F32" s="14">
        <v>2</v>
      </c>
      <c r="G32" s="14">
        <v>0</v>
      </c>
      <c r="H32" s="13">
        <f t="shared" si="0"/>
        <v>0</v>
      </c>
      <c r="I32" s="27"/>
    </row>
    <row r="33" spans="2:9" ht="24.95" customHeight="1" x14ac:dyDescent="0.25">
      <c r="B33" s="15"/>
      <c r="C33" s="76"/>
      <c r="D33" s="77"/>
      <c r="E33" s="78"/>
      <c r="F33" s="14"/>
      <c r="G33" s="14"/>
      <c r="H33" s="13"/>
      <c r="I33" s="27"/>
    </row>
    <row r="34" spans="2:9" ht="24.95" customHeight="1" x14ac:dyDescent="0.25">
      <c r="B34" s="15"/>
      <c r="C34" s="19"/>
      <c r="D34" s="20"/>
      <c r="E34" s="21"/>
      <c r="F34" s="14"/>
      <c r="G34" s="14"/>
      <c r="H34" s="13"/>
      <c r="I34" s="27"/>
    </row>
    <row r="35" spans="2:9" ht="24.95" customHeight="1" x14ac:dyDescent="0.25">
      <c r="B35" s="15"/>
      <c r="C35" s="19"/>
      <c r="D35" s="20"/>
      <c r="E35" s="21"/>
      <c r="F35" s="14"/>
      <c r="G35" s="14"/>
      <c r="H35" s="13"/>
      <c r="I35" s="27"/>
    </row>
    <row r="36" spans="2:9" ht="24.95" customHeight="1" x14ac:dyDescent="0.25">
      <c r="B36" s="24" t="s">
        <v>10</v>
      </c>
      <c r="C36" s="76" t="s">
        <v>26</v>
      </c>
      <c r="D36" s="77"/>
      <c r="E36" s="78"/>
      <c r="F36" s="14">
        <v>1</v>
      </c>
      <c r="G36" s="14">
        <v>1</v>
      </c>
      <c r="H36" s="13">
        <v>30</v>
      </c>
      <c r="I36" s="27"/>
    </row>
    <row r="37" spans="2:9" ht="24.95" customHeight="1" x14ac:dyDescent="0.25">
      <c r="B37" s="15" t="s">
        <v>25</v>
      </c>
      <c r="C37" s="76" t="s">
        <v>27</v>
      </c>
      <c r="D37" s="77"/>
      <c r="E37" s="78"/>
      <c r="F37" s="14">
        <v>1</v>
      </c>
      <c r="G37" s="14">
        <v>1</v>
      </c>
      <c r="H37" s="13">
        <v>3</v>
      </c>
      <c r="I37" s="27"/>
    </row>
    <row r="38" spans="2:9" ht="24.95" customHeight="1" x14ac:dyDescent="0.25">
      <c r="B38" s="15" t="s">
        <v>13</v>
      </c>
      <c r="C38" s="76" t="s">
        <v>34</v>
      </c>
      <c r="D38" s="77"/>
      <c r="E38" s="78"/>
      <c r="F38" s="30">
        <v>1</v>
      </c>
      <c r="G38" s="14">
        <v>1</v>
      </c>
      <c r="H38" s="13">
        <v>5</v>
      </c>
      <c r="I38" s="27"/>
    </row>
    <row r="39" spans="2:9" ht="24.95" customHeight="1" x14ac:dyDescent="0.25">
      <c r="B39" s="15"/>
      <c r="C39" s="55"/>
      <c r="D39" s="56"/>
      <c r="E39" s="57"/>
      <c r="F39" s="14"/>
      <c r="G39" s="14"/>
      <c r="H39" s="14"/>
      <c r="I39" s="27"/>
    </row>
    <row r="40" spans="2:9" ht="24.95" customHeight="1" x14ac:dyDescent="0.25">
      <c r="B40" s="15"/>
      <c r="C40" s="55" t="s">
        <v>11</v>
      </c>
      <c r="D40" s="56"/>
      <c r="E40" s="57"/>
      <c r="F40" s="14"/>
      <c r="G40" s="14"/>
      <c r="H40" s="13">
        <f>SUM(H11:H39)</f>
        <v>118.60000000000001</v>
      </c>
      <c r="I40" s="27"/>
    </row>
    <row r="41" spans="2:9" hidden="1" x14ac:dyDescent="0.25">
      <c r="H41" s="9">
        <v>64.290000000000006</v>
      </c>
    </row>
    <row r="42" spans="2:9" hidden="1" x14ac:dyDescent="0.25">
      <c r="B42" s="16"/>
      <c r="D42" s="17" t="s">
        <v>17</v>
      </c>
    </row>
    <row r="43" spans="2:9" hidden="1" x14ac:dyDescent="0.25">
      <c r="B43" s="16"/>
      <c r="D43" s="6" t="s">
        <v>18</v>
      </c>
    </row>
    <row r="44" spans="2:9" hidden="1" x14ac:dyDescent="0.25">
      <c r="B44" s="16"/>
      <c r="D44" s="17" t="s">
        <v>19</v>
      </c>
    </row>
    <row r="45" spans="2:9" ht="21" hidden="1" customHeight="1" x14ac:dyDescent="0.25">
      <c r="B45" s="16"/>
      <c r="D45" s="17" t="s">
        <v>20</v>
      </c>
    </row>
    <row r="46" spans="2:9" hidden="1" x14ac:dyDescent="0.25">
      <c r="B46" s="16"/>
      <c r="D46" s="17" t="s">
        <v>21</v>
      </c>
    </row>
    <row r="47" spans="2:9" hidden="1" x14ac:dyDescent="0.25">
      <c r="B47" s="16"/>
      <c r="D47" s="17" t="s">
        <v>22</v>
      </c>
    </row>
  </sheetData>
  <mergeCells count="34">
    <mergeCell ref="C22:E22"/>
    <mergeCell ref="C26:E26"/>
    <mergeCell ref="C29:E29"/>
    <mergeCell ref="C30:E30"/>
    <mergeCell ref="C23:E23"/>
    <mergeCell ref="C24:E24"/>
    <mergeCell ref="C40:E40"/>
    <mergeCell ref="C25:E25"/>
    <mergeCell ref="C32:E32"/>
    <mergeCell ref="C36:E36"/>
    <mergeCell ref="C37:E37"/>
    <mergeCell ref="C38:E38"/>
    <mergeCell ref="C39:E39"/>
    <mergeCell ref="C27:E27"/>
    <mergeCell ref="C28:E28"/>
    <mergeCell ref="C31:E31"/>
    <mergeCell ref="C33:E33"/>
    <mergeCell ref="G4:I8"/>
    <mergeCell ref="C10:E10"/>
    <mergeCell ref="B1:I1"/>
    <mergeCell ref="B2:I3"/>
    <mergeCell ref="C4:F4"/>
    <mergeCell ref="C5:F5"/>
    <mergeCell ref="C6:F6"/>
    <mergeCell ref="C20:E20"/>
    <mergeCell ref="C11:E11"/>
    <mergeCell ref="C14:E14"/>
    <mergeCell ref="C7:F7"/>
    <mergeCell ref="C8:F8"/>
    <mergeCell ref="C13:E13"/>
    <mergeCell ref="C12:E12"/>
    <mergeCell ref="C17:E17"/>
    <mergeCell ref="C18:E18"/>
    <mergeCell ref="C19:E19"/>
  </mergeCells>
  <phoneticPr fontId="1"/>
  <pageMargins left="0.28699999999999998" right="0.28699999999999998" top="0.98399999999999999" bottom="0.98399999999999999" header="0.5" footer="0.5"/>
  <pageSetup paperSize="9" scale="8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Original</vt:lpstr>
      <vt:lpstr>Original!Print_Area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Beau Geste</dc:creator>
  <cp:lastModifiedBy>Administrator</cp:lastModifiedBy>
  <cp:lastPrinted>2026-06-25T12:04:09Z</cp:lastPrinted>
  <dcterms:created xsi:type="dcterms:W3CDTF">2017-03-07T03:52:41Z</dcterms:created>
  <dcterms:modified xsi:type="dcterms:W3CDTF">2026-06-25T12:25:24Z</dcterms:modified>
</cp:coreProperties>
</file>