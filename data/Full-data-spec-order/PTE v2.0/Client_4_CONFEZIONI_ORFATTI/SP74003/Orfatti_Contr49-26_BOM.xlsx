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72705" sheetId="1" state="visible" r:id="rId3"/>
    <sheet name="SP72706" sheetId="2" state="visible" r:id="rId4"/>
    <sheet name="SP74003" sheetId="3" state="visible" r:id="rId5"/>
    <sheet name="SP74018-MilGreen" sheetId="4" state="visible" r:id="rId6"/>
    <sheet name="SP74018-Red" sheetId="5" state="visible" r:id="rId7"/>
    <sheet name="SP74009" sheetId="6" state="visible" r:id="rId8"/>
    <sheet name="SP74006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<sst xmlns="http://schemas.openxmlformats.org/spreadsheetml/2006/main" count="1090" uniqueCount="155">
  <si>
    <t xml:space="preserve">BILL OF MATERIALS — CONFEZIONI ORFATTI SRL</t>
  </si>
  <si>
    <t xml:space="preserve">Buyer:</t>
  </si>
  <si>
    <t xml:space="preserve">CONFEZIONI ORFATTI SRL</t>
  </si>
  <si>
    <t xml:space="preserve">Contract No:</t>
  </si>
  <si>
    <t xml:space="preserve">49/26</t>
  </si>
  <si>
    <t xml:space="preserve">Seller:</t>
  </si>
  <si>
    <t xml:space="preserve">PAKKAR TANVEER EXPORTS</t>
  </si>
  <si>
    <t xml:space="preserve">Contract Date:</t>
  </si>
  <si>
    <t xml:space="preserve">01/04/2026</t>
  </si>
  <si>
    <t xml:space="preserve">Style No:</t>
  </si>
  <si>
    <t xml:space="preserve">SP72705</t>
  </si>
  <si>
    <t xml:space="preserve">Colour:</t>
  </si>
  <si>
    <t xml:space="preserve">Light Green</t>
  </si>
  <si>
    <t xml:space="preserve">Leather Type:</t>
  </si>
  <si>
    <t xml:space="preserve">202 DOLLY (Foil Leather)</t>
  </si>
  <si>
    <t xml:space="preserve">Order Qty:</t>
  </si>
  <si>
    <t xml:space="preserve">11 pcs</t>
  </si>
  <si>
    <t xml:space="preserve">FOB Price (€):</t>
  </si>
  <si>
    <t xml:space="preserve">€TBC</t>
  </si>
  <si>
    <t xml:space="preserve">Delivery:</t>
  </si>
  <si>
    <t xml:space="preserve">15/05 EX CHENNAI</t>
  </si>
  <si>
    <t xml:space="preserve">#</t>
  </si>
  <si>
    <t xml:space="preserve">Category</t>
  </si>
  <si>
    <t xml:space="preserve">Material / Description</t>
  </si>
  <si>
    <t xml:space="preserve">Colour</t>
  </si>
  <si>
    <t xml:space="preserve">UOM</t>
  </si>
  <si>
    <t xml:space="preserve">Norm / Qty</t>
  </si>
  <si>
    <t xml:space="preserve">Unit Price
(₹)</t>
  </si>
  <si>
    <t xml:space="preserve">Amount
(₹)</t>
  </si>
  <si>
    <t xml:space="preserve">GST</t>
  </si>
  <si>
    <t xml:space="preserve">Amount
with GST (₹)</t>
  </si>
  <si>
    <t xml:space="preserve">MAIN LEATHER</t>
  </si>
  <si>
    <t xml:space="preserve">Main Leather</t>
  </si>
  <si>
    <t xml:space="preserve">DCM</t>
  </si>
  <si>
    <t xml:space="preserve">LINING &amp; INTERLINING</t>
  </si>
  <si>
    <t xml:space="preserve">Lining</t>
  </si>
  <si>
    <t xml:space="preserve">Polyester Lining (Sleeves + Pocket Sac)</t>
  </si>
  <si>
    <t xml:space="preserve">MTR</t>
  </si>
  <si>
    <t xml:space="preserve">THREADS</t>
  </si>
  <si>
    <t xml:space="preserve">Thread</t>
  </si>
  <si>
    <t xml:space="preserve">Thread TKT-30</t>
  </si>
  <si>
    <t xml:space="preserve">Matching</t>
  </si>
  <si>
    <t xml:space="preserve">BOX</t>
  </si>
  <si>
    <t xml:space="preserve">Thread TKT-60</t>
  </si>
  <si>
    <t xml:space="preserve">Thread TKT-50</t>
  </si>
  <si>
    <t xml:space="preserve">FUSING &amp; ADHESIVES</t>
  </si>
  <si>
    <t xml:space="preserve">Fusing</t>
  </si>
  <si>
    <t xml:space="preserve">Grey</t>
  </si>
  <si>
    <t xml:space="preserve">MTS</t>
  </si>
  <si>
    <t xml:space="preserve">Adhesive Solutions</t>
  </si>
  <si>
    <t xml:space="preserve">NA</t>
  </si>
  <si>
    <t xml:space="preserve">LITRE</t>
  </si>
  <si>
    <t xml:space="preserve">Pakka Tape 3mm</t>
  </si>
  <si>
    <t xml:space="preserve">White</t>
  </si>
  <si>
    <t xml:space="preserve">ACCESSORIES &amp; HARDWARE</t>
  </si>
  <si>
    <t xml:space="preserve">Accessories</t>
  </si>
  <si>
    <t xml:space="preserve">Shell Button 2-Holes Size 36</t>
  </si>
  <si>
    <t xml:space="preserve">Grey (same as SMS)</t>
  </si>
  <si>
    <t xml:space="preserve">NOS</t>
  </si>
  <si>
    <t xml:space="preserve">Under Button 4-Holes Size 18</t>
  </si>
  <si>
    <t xml:space="preserve">Transparent</t>
  </si>
  <si>
    <t xml:space="preserve">Polybag for Spare Buttons</t>
  </si>
  <si>
    <t xml:space="preserve">Transparent Plastic Pin for Accessories</t>
  </si>
  <si>
    <t xml:space="preserve">Leather Patch – "Lab It On" Print (Back Centre)</t>
  </si>
  <si>
    <t xml:space="preserve">Silver + Red</t>
  </si>
  <si>
    <t xml:space="preserve">LABELLING</t>
  </si>
  <si>
    <t xml:space="preserve">Label</t>
  </si>
  <si>
    <t xml:space="preserve">Main Label (Printed)</t>
  </si>
  <si>
    <t xml:space="preserve">Main Label (Buyer)</t>
  </si>
  <si>
    <t xml:space="preserve">Care Label</t>
  </si>
  <si>
    <t xml:space="preserve">Size Label</t>
  </si>
  <si>
    <t xml:space="preserve">PACKAGING</t>
  </si>
  <si>
    <t xml:space="preserve">Packaging</t>
  </si>
  <si>
    <t xml:space="preserve">Hang Tag</t>
  </si>
  <si>
    <t xml:space="preserve">Sticker</t>
  </si>
  <si>
    <t xml:space="preserve">Poly Bag</t>
  </si>
  <si>
    <t xml:space="preserve">KG</t>
  </si>
  <si>
    <t xml:space="preserve">Box Inner Ply Cover</t>
  </si>
  <si>
    <t xml:space="preserve">Tissue Paper</t>
  </si>
  <si>
    <t xml:space="preserve">RIM</t>
  </si>
  <si>
    <t xml:space="preserve">Carton Box</t>
  </si>
  <si>
    <t xml:space="preserve">Packing Tape</t>
  </si>
  <si>
    <t xml:space="preserve">Brown</t>
  </si>
  <si>
    <t xml:space="preserve">ROLL</t>
  </si>
  <si>
    <t xml:space="preserve">MANUFACTURING &amp; LOGISTICS</t>
  </si>
  <si>
    <t xml:space="preserve">Making Cost</t>
  </si>
  <si>
    <t xml:space="preserve">Cutting &amp; Stitching</t>
  </si>
  <si>
    <t xml:space="preserve">-</t>
  </si>
  <si>
    <t xml:space="preserve">C&amp;F</t>
  </si>
  <si>
    <t xml:space="preserve">Freight / Clearing Charges</t>
  </si>
  <si>
    <t xml:space="preserve">TOTAL MATERIALS COST (₹) — Per Garment</t>
  </si>
  <si>
    <t xml:space="preserve">FOB PRICE (€): TBC  |  Exchange Rate assumed: ₹85/€  |  Commission: 6%</t>
  </si>
  <si>
    <t xml:space="preserve">NOTES: Collection: VLAB SS2027. Fabric: 202 Dolly whole outside garment, outside/inside collar, stand collar, front facing, curl hanger, back-neck patch. Sleeve + 1 pocket sac in polyester lining. Adhesive on front edge, facing, collar, hems. SP72705 = Light Green colour.</t>
  </si>
  <si>
    <t xml:space="preserve">SP72706</t>
  </si>
  <si>
    <t xml:space="preserve">ICE</t>
  </si>
  <si>
    <t xml:space="preserve">Snap – Head Covered with Leather</t>
  </si>
  <si>
    <t xml:space="preserve">Snap – Under Side Plate (Nickel)</t>
  </si>
  <si>
    <t xml:space="preserve">Nickel</t>
  </si>
  <si>
    <t xml:space="preserve">Plastic Reinforcement for Snap</t>
  </si>
  <si>
    <t xml:space="preserve">NOTES: Collection: VLAB SS2027. SP72706 = ICE colour. No back-neck patch (per proto comments 25-05-2026 – comment #5 cancels patch for SP72706). Lining must match leather colour completely. Sleeve lined; lower body unlined.</t>
  </si>
  <si>
    <t xml:space="preserve">SP74003</t>
  </si>
  <si>
    <t xml:space="preserve">Military Green</t>
  </si>
  <si>
    <t xml:space="preserve">Goat Suede (0.4/0.5mm, ABC Selection)</t>
  </si>
  <si>
    <t xml:space="preserve">19 pcs</t>
  </si>
  <si>
    <t xml:space="preserve">Viscose Lining – Body</t>
  </si>
  <si>
    <t xml:space="preserve">Black</t>
  </si>
  <si>
    <t xml:space="preserve">Polyester Lining – Sleeves + Pocket Sac</t>
  </si>
  <si>
    <t xml:space="preserve">Fake Horn Button 4-Holes Size 36 (+ 1 spare)</t>
  </si>
  <si>
    <t xml:space="preserve">Under Button 4-Holes Size 18 (+ 1 spare)</t>
  </si>
  <si>
    <t xml:space="preserve">Embroidered Leather Patch (Centre Back)</t>
  </si>
  <si>
    <t xml:space="preserve">Main Label Embroidery</t>
  </si>
  <si>
    <t xml:space="preserve">NOTES: Collection: MONTEREGGI SS2027. Goat Suede 0.4/0.5mm, soft &amp; substantial handfeel. Viscose lining in body; polyester in sleeves &amp; pocket sac. Fake horn buttons – follow swatch. Embroidered patch on centre back.</t>
  </si>
  <si>
    <t xml:space="preserve">SP74018-MilGreen</t>
  </si>
  <si>
    <t xml:space="preserve">Goat Nappalan (200 Naplin, Anti-Dust Treatment)</t>
  </si>
  <si>
    <t xml:space="preserve">Lining – Body (same quality as original sample)</t>
  </si>
  <si>
    <t xml:space="preserve">Polyester Lining – Front/Back Pocket Sac + Zip Motif</t>
  </si>
  <si>
    <t xml:space="preserve">Light Cotton Lining – Inside Waist Band</t>
  </si>
  <si>
    <t xml:space="preserve">Ecru</t>
  </si>
  <si>
    <t xml:space="preserve">Nylon Zip T3 Close End (Centre Closure)</t>
  </si>
  <si>
    <t xml:space="preserve">Zip Puller T3</t>
  </si>
  <si>
    <t xml:space="preserve">Fake Horn Button 4-Holes Size 32 (+ 1 spare)</t>
  </si>
  <si>
    <t xml:space="preserve">Fake Horn</t>
  </si>
  <si>
    <t xml:space="preserve">Under Button 4-Holes Size 18 (transparent)</t>
  </si>
  <si>
    <t xml:space="preserve">Leather Piping – Inside Waist Band</t>
  </si>
  <si>
    <t xml:space="preserve">Polybag for Spare Accessories</t>
  </si>
  <si>
    <t xml:space="preserve">NOTES: Collection: MONTEREGGI SS2027. Style SP74018, colour Military Green. Anti-dust/Napalan treatment on inside. Pants style – label size XS but cut for standard sizing. Outseam waist excl. must be 48cm (corrected +4cm). Cotton ecru lining in waist band.</t>
  </si>
  <si>
    <t xml:space="preserve">SP74018-Red</t>
  </si>
  <si>
    <t xml:space="preserve">Red</t>
  </si>
  <si>
    <t xml:space="preserve">Goat Suede (0.4/0.5mm, Anti-Dust/Napalan Treatment)</t>
  </si>
  <si>
    <t xml:space="preserve">Polyester Lining – Pocket Sac</t>
  </si>
  <si>
    <t xml:space="preserve">Nylon Zip T3 Close End</t>
  </si>
  <si>
    <t xml:space="preserve">Transparent Plastic Pin</t>
  </si>
  <si>
    <t xml:space="preserve">NOTES: Second colour run of SP74018 in Red. Same construction as Military Green version.</t>
  </si>
  <si>
    <t xml:space="preserve">SP74009</t>
  </si>
  <si>
    <t xml:space="preserve">20 pcs</t>
  </si>
  <si>
    <t xml:space="preserve">Satin Lining – Hidden Pocket Sac + Sleeves</t>
  </si>
  <si>
    <t xml:space="preserve">Metal Nickel Zip T5 Open End Double Slider – Centre Front</t>
  </si>
  <si>
    <t xml:space="preserve">Zip Puller T5</t>
  </si>
  <si>
    <t xml:space="preserve">Snap Visible Head Size 20 (+ 1 spare) – Collar, Cuff</t>
  </si>
  <si>
    <t xml:space="preserve">Snap with Hidden Head (Cover Zip)</t>
  </si>
  <si>
    <t xml:space="preserve">Snap Under Side – Collar, Cuff</t>
  </si>
  <si>
    <t xml:space="preserve">Plastic Reinforcement for Snaps</t>
  </si>
  <si>
    <t xml:space="preserve">Cotton Coulisse Chord 135cm</t>
  </si>
  <si>
    <t xml:space="preserve">Metal Eyelet – Bottom</t>
  </si>
  <si>
    <t xml:space="preserve">Stopper – Bottom</t>
  </si>
  <si>
    <t xml:space="preserve">Fake Leather Black</t>
  </si>
  <si>
    <t xml:space="preserve">Embroidered Patch – Centre Back</t>
  </si>
  <si>
    <t xml:space="preserve">NOTES: Collection: MONTEREGGI SS2027. SP74009 Red. Anti-dust/Napalan treatment inside. Jacket with drawstring bottom, satin pocket sac + sleeve lining. Double-slider T5 nickel zip at centre front.</t>
  </si>
  <si>
    <t xml:space="preserve">SP74006</t>
  </si>
  <si>
    <t xml:space="preserve">Dark Red</t>
  </si>
  <si>
    <t xml:space="preserve">Goat Nappalan (Anti-Dust Treatment, Napline)</t>
  </si>
  <si>
    <t xml:space="preserve">Polyester Lining – Flying Back Yoke (Viscose)</t>
  </si>
  <si>
    <t xml:space="preserve">Button 4-Holes Size 36 (+ 1 spare)</t>
  </si>
  <si>
    <t xml:space="preserve">Nappalan Leather Patch with Monogram Embroidery 4×4cm</t>
  </si>
  <si>
    <t xml:space="preserve">NOTES: Collection: MONTEREGGI SS2027 (spec file shows SP64806). Goat Nappalan with anti-dust back-side treatment. Viscose lining only in back flying yoke. Monogram embroidery patch on outside back centre.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</si>
</sst>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60606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C9A84C"/>
        <bgColor rgb="FFFF9900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C9A84C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6.5" hidden="false" customHeight="true" outlineLevel="0" collapsed="false">
      <c r="A2" s="2" t="s">
        <v>1</v>
      </c>
      <c r="B2" s="2"/>
      <c r="C2" s="3" t="s">
        <v>2</v>
      </c>
      <c r="D2" s="3"/>
      <c r="E2" s="3"/>
      <c r="F2" s="2" t="s">
        <v>3</v>
      </c>
      <c r="G2" s="2"/>
      <c r="H2" s="3" t="s">
        <v>4</v>
      </c>
      <c r="I2" s="3"/>
      <c r="J2" s="3"/>
    </row>
    <row r="3" customFormat="false" ht="16.5" hidden="false" customHeight="true" outlineLevel="0" collapsed="false">
      <c r="A3" s="2" t="s">
        <v>5</v>
      </c>
      <c r="B3" s="2"/>
      <c r="C3" s="3" t="s">
        <v>6</v>
      </c>
      <c r="D3" s="3"/>
      <c r="E3" s="3"/>
      <c r="F3" s="2" t="s">
        <v>7</v>
      </c>
      <c r="G3" s="2"/>
      <c r="H3" s="3" t="s">
        <v>8</v>
      </c>
      <c r="I3" s="3"/>
      <c r="J3" s="3"/>
    </row>
    <row r="4" customFormat="false" ht="16.5" hidden="false" customHeight="true" outlineLevel="0" collapsed="false">
      <c r="A4" s="2" t="s">
        <v>9</v>
      </c>
      <c r="B4" s="2"/>
      <c r="C4" s="3" t="s">
        <v>10</v>
      </c>
      <c r="D4" s="3"/>
      <c r="E4" s="3"/>
      <c r="F4" s="2" t="s">
        <v>11</v>
      </c>
      <c r="G4" s="2"/>
      <c r="H4" s="3" t="s">
        <v>12</v>
      </c>
      <c r="I4" s="3"/>
      <c r="J4" s="3"/>
    </row>
    <row r="5" customFormat="false" ht="16.5" hidden="false" customHeight="true" outlineLevel="0" collapsed="false">
      <c r="A5" s="2" t="s">
        <v>13</v>
      </c>
      <c r="B5" s="2"/>
      <c r="C5" s="3" t="s">
        <v>14</v>
      </c>
      <c r="D5" s="3"/>
      <c r="E5" s="3"/>
      <c r="F5" s="2" t="s">
        <v>15</v>
      </c>
      <c r="G5" s="2"/>
      <c r="H5" s="3" t="s">
        <v>16</v>
      </c>
      <c r="I5" s="3"/>
      <c r="J5" s="3"/>
    </row>
    <row r="6" customFormat="false" ht="16.5" hidden="false" customHeight="true" outlineLevel="0" collapsed="false">
      <c r="A6" s="2" t="s">
        <v>17</v>
      </c>
      <c r="B6" s="2"/>
      <c r="C6" s="3" t="s">
        <v>18</v>
      </c>
      <c r="D6" s="3"/>
      <c r="E6" s="3"/>
      <c r="F6" s="2" t="s">
        <v>19</v>
      </c>
      <c r="G6" s="2"/>
      <c r="H6" s="3" t="s">
        <v>20</v>
      </c>
      <c r="I6" s="3"/>
      <c r="J6" s="3"/>
    </row>
    <row r="8" customFormat="false" ht="27.75" hidden="false" customHeight="true" outlineLevel="0" collapsed="false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27</v>
      </c>
      <c r="H8" s="4" t="s">
        <v>28</v>
      </c>
      <c r="I8" s="4" t="s">
        <v>29</v>
      </c>
      <c r="J8" s="4" t="s">
        <v>30</v>
      </c>
    </row>
    <row r="9" customFormat="false" ht="18" hidden="false" customHeight="true" outlineLevel="0" collapsed="false">
      <c r="A9" s="5" t="s">
        <v>31</v>
      </c>
      <c r="B9" s="5"/>
      <c r="C9" s="5"/>
      <c r="D9" s="5"/>
      <c r="E9" s="5"/>
      <c r="F9" s="5"/>
      <c r="G9" s="5"/>
      <c r="H9" s="5"/>
      <c r="I9" s="5"/>
      <c r="J9" s="5"/>
    </row>
    <row r="10" customFormat="false" ht="21.75" hidden="false" customHeight="true" outlineLevel="0" collapsed="false">
      <c r="A10" s="6" t="n">
        <v>1</v>
      </c>
      <c r="B10" s="7" t="s">
        <v>32</v>
      </c>
      <c r="C10" s="8" t="s">
        <v>14</v>
      </c>
      <c r="D10" s="6" t="s">
        <v>12</v>
      </c>
      <c r="E10" s="6" t="s">
        <v>33</v>
      </c>
      <c r="F10" s="6" t="n">
        <v>355</v>
      </c>
      <c r="G10" s="9" t="n">
        <v>14</v>
      </c>
      <c r="H10" s="9" t="n">
        <f aca="false">F10*G10</f>
        <v>4970</v>
      </c>
      <c r="I10" s="9" t="n">
        <f aca="false">H10*0.05</f>
        <v>248.5</v>
      </c>
      <c r="J10" s="9" t="n">
        <f aca="false">H10+I10</f>
        <v>5218.5</v>
      </c>
    </row>
    <row r="11" customFormat="false" ht="18" hidden="false" customHeight="true" outlineLevel="0" collapsed="false">
      <c r="A11" s="5" t="s">
        <v>34</v>
      </c>
      <c r="B11" s="5"/>
      <c r="C11" s="5"/>
      <c r="D11" s="5"/>
      <c r="E11" s="5"/>
      <c r="F11" s="5"/>
      <c r="G11" s="5"/>
      <c r="H11" s="5"/>
      <c r="I11" s="5"/>
      <c r="J11" s="5"/>
    </row>
    <row r="12" customFormat="false" ht="21.75" hidden="false" customHeight="true" outlineLevel="0" collapsed="false">
      <c r="A12" s="10" t="n">
        <v>2</v>
      </c>
      <c r="B12" s="11" t="s">
        <v>35</v>
      </c>
      <c r="C12" s="12" t="s">
        <v>36</v>
      </c>
      <c r="D12" s="10" t="s">
        <v>12</v>
      </c>
      <c r="E12" s="10" t="s">
        <v>37</v>
      </c>
      <c r="F12" s="10" t="n">
        <v>1</v>
      </c>
      <c r="G12" s="13" t="n">
        <v>55</v>
      </c>
      <c r="H12" s="13" t="n">
        <f aca="false">F12*G12</f>
        <v>55</v>
      </c>
      <c r="I12" s="13" t="n">
        <f aca="false">H12*0.12</f>
        <v>6.6</v>
      </c>
      <c r="J12" s="13" t="n">
        <f aca="false">H12+I12</f>
        <v>61.6</v>
      </c>
    </row>
    <row r="13" customFormat="false" ht="18" hidden="false" customHeight="true" outlineLevel="0" collapsed="false">
      <c r="A13" s="5" t="s">
        <v>38</v>
      </c>
      <c r="B13" s="5"/>
      <c r="C13" s="5"/>
      <c r="D13" s="5"/>
      <c r="E13" s="5"/>
      <c r="F13" s="5"/>
      <c r="G13" s="5"/>
      <c r="H13" s="5"/>
      <c r="I13" s="5"/>
      <c r="J13" s="5"/>
    </row>
    <row r="14" customFormat="false" ht="21.75" hidden="false" customHeight="true" outlineLevel="0" collapsed="false">
      <c r="A14" s="6" t="n">
        <v>3</v>
      </c>
      <c r="B14" s="7" t="s">
        <v>39</v>
      </c>
      <c r="C14" s="8" t="s">
        <v>40</v>
      </c>
      <c r="D14" s="6" t="s">
        <v>41</v>
      </c>
      <c r="E14" s="6" t="s">
        <v>42</v>
      </c>
      <c r="F14" s="6" t="n">
        <v>100</v>
      </c>
      <c r="G14" s="9" t="n">
        <v>61</v>
      </c>
      <c r="H14" s="9" t="n">
        <f aca="false">F14*G14</f>
        <v>6100</v>
      </c>
      <c r="I14" s="9" t="n">
        <f aca="false">H14*0.12</f>
        <v>732</v>
      </c>
      <c r="J14" s="9" t="n">
        <f aca="false">H14+I14</f>
        <v>6832</v>
      </c>
    </row>
    <row r="15" customFormat="false" ht="21.75" hidden="false" customHeight="true" outlineLevel="0" collapsed="false">
      <c r="A15" s="10" t="n">
        <v>4</v>
      </c>
      <c r="B15" s="11" t="s">
        <v>39</v>
      </c>
      <c r="C15" s="12" t="s">
        <v>43</v>
      </c>
      <c r="D15" s="10" t="s">
        <v>41</v>
      </c>
      <c r="E15" s="10" t="s">
        <v>42</v>
      </c>
      <c r="F15" s="10" t="n">
        <v>100</v>
      </c>
      <c r="G15" s="13" t="n">
        <v>257</v>
      </c>
      <c r="H15" s="13" t="n">
        <f aca="false">F15*G15</f>
        <v>25700</v>
      </c>
      <c r="I15" s="13" t="n">
        <f aca="false">H15*0.12</f>
        <v>3084</v>
      </c>
      <c r="J15" s="13" t="n">
        <f aca="false">H15+I15</f>
        <v>28784</v>
      </c>
    </row>
    <row r="16" customFormat="false" ht="21.75" hidden="false" customHeight="true" outlineLevel="0" collapsed="false">
      <c r="A16" s="6" t="n">
        <v>5</v>
      </c>
      <c r="B16" s="7" t="s">
        <v>39</v>
      </c>
      <c r="C16" s="8" t="s">
        <v>44</v>
      </c>
      <c r="D16" s="6" t="s">
        <v>41</v>
      </c>
      <c r="E16" s="6" t="s">
        <v>42</v>
      </c>
      <c r="F16" s="6" t="n">
        <v>50</v>
      </c>
      <c r="G16" s="9" t="n">
        <v>162</v>
      </c>
      <c r="H16" s="9" t="n">
        <f aca="false">F16*G16</f>
        <v>8100</v>
      </c>
      <c r="I16" s="9" t="n">
        <f aca="false">H16*0.12</f>
        <v>972</v>
      </c>
      <c r="J16" s="9" t="n">
        <f aca="false">H16+I16</f>
        <v>9072</v>
      </c>
    </row>
    <row r="17" customFormat="false" ht="18" hidden="false" customHeight="true" outlineLevel="0" collapsed="false">
      <c r="A17" s="5" t="s">
        <v>45</v>
      </c>
      <c r="B17" s="5"/>
      <c r="C17" s="5"/>
      <c r="D17" s="5"/>
      <c r="E17" s="5"/>
      <c r="F17" s="5"/>
      <c r="G17" s="5"/>
      <c r="H17" s="5"/>
      <c r="I17" s="5"/>
      <c r="J17" s="5"/>
    </row>
    <row r="18" customFormat="false" ht="21.75" hidden="false" customHeight="true" outlineLevel="0" collapsed="false">
      <c r="A18" s="10" t="n">
        <v>6</v>
      </c>
      <c r="B18" s="11" t="s">
        <v>46</v>
      </c>
      <c r="C18" s="12" t="s">
        <v>46</v>
      </c>
      <c r="D18" s="10" t="s">
        <v>47</v>
      </c>
      <c r="E18" s="10" t="s">
        <v>48</v>
      </c>
      <c r="F18" s="10" t="n">
        <v>0.5</v>
      </c>
      <c r="G18" s="13" t="n">
        <v>18</v>
      </c>
      <c r="H18" s="13" t="n">
        <f aca="false">F18*G18</f>
        <v>9</v>
      </c>
      <c r="I18" s="13" t="n">
        <f aca="false">H18*0.18</f>
        <v>1.62</v>
      </c>
      <c r="J18" s="13" t="n">
        <f aca="false">H18+I18</f>
        <v>10.62</v>
      </c>
    </row>
    <row r="19" customFormat="false" ht="21.75" hidden="false" customHeight="true" outlineLevel="0" collapsed="false">
      <c r="A19" s="6" t="n">
        <v>7</v>
      </c>
      <c r="B19" s="7" t="s">
        <v>46</v>
      </c>
      <c r="C19" s="8" t="s">
        <v>49</v>
      </c>
      <c r="D19" s="6" t="s">
        <v>50</v>
      </c>
      <c r="E19" s="6" t="s">
        <v>51</v>
      </c>
      <c r="F19" s="6" t="n">
        <v>0.15</v>
      </c>
      <c r="G19" s="9" t="n">
        <v>95</v>
      </c>
      <c r="H19" s="9" t="n">
        <f aca="false">F19*G19</f>
        <v>14.25</v>
      </c>
      <c r="I19" s="9" t="n">
        <f aca="false">H19*0.18</f>
        <v>2.565</v>
      </c>
      <c r="J19" s="9" t="n">
        <f aca="false">H19+I19</f>
        <v>16.815</v>
      </c>
    </row>
    <row r="20" customFormat="false" ht="21.75" hidden="false" customHeight="true" outlineLevel="0" collapsed="false">
      <c r="A20" s="10" t="n">
        <v>8</v>
      </c>
      <c r="B20" s="11" t="s">
        <v>46</v>
      </c>
      <c r="C20" s="12" t="s">
        <v>52</v>
      </c>
      <c r="D20" s="10" t="s">
        <v>53</v>
      </c>
      <c r="E20" s="10" t="s">
        <v>48</v>
      </c>
      <c r="F20" s="10" t="n">
        <v>3.75</v>
      </c>
      <c r="G20" s="13" t="n">
        <v>8</v>
      </c>
      <c r="H20" s="13" t="n">
        <f aca="false">F20*G20</f>
        <v>30</v>
      </c>
      <c r="I20" s="13" t="n">
        <f aca="false">H20*0.18</f>
        <v>5.4</v>
      </c>
      <c r="J20" s="13" t="n">
        <f aca="false">H20+I20</f>
        <v>35.4</v>
      </c>
    </row>
    <row r="21" customFormat="false" ht="18" hidden="false" customHeight="true" outlineLevel="0" collapsed="false">
      <c r="A21" s="5" t="s">
        <v>54</v>
      </c>
      <c r="B21" s="5"/>
      <c r="C21" s="5"/>
      <c r="D21" s="5"/>
      <c r="E21" s="5"/>
      <c r="F21" s="5"/>
      <c r="G21" s="5"/>
      <c r="H21" s="5"/>
      <c r="I21" s="5"/>
      <c r="J21" s="5"/>
    </row>
    <row r="22" customFormat="false" ht="21.75" hidden="false" customHeight="true" outlineLevel="0" collapsed="false">
      <c r="A22" s="6" t="n">
        <v>9</v>
      </c>
      <c r="B22" s="7" t="s">
        <v>55</v>
      </c>
      <c r="C22" s="8" t="s">
        <v>56</v>
      </c>
      <c r="D22" s="6" t="s">
        <v>57</v>
      </c>
      <c r="E22" s="6" t="s">
        <v>58</v>
      </c>
      <c r="F22" s="6" t="n">
        <v>2</v>
      </c>
      <c r="G22" s="9" t="n">
        <v>15</v>
      </c>
      <c r="H22" s="9" t="n">
        <f aca="false">F22*G22</f>
        <v>30</v>
      </c>
      <c r="I22" s="9" t="n">
        <f aca="false">H22*0.12</f>
        <v>3.6</v>
      </c>
      <c r="J22" s="9" t="n">
        <f aca="false">H22+I22</f>
        <v>33.6</v>
      </c>
    </row>
    <row r="23" customFormat="false" ht="21.75" hidden="false" customHeight="true" outlineLevel="0" collapsed="false">
      <c r="A23" s="10" t="n">
        <v>10</v>
      </c>
      <c r="B23" s="11" t="s">
        <v>55</v>
      </c>
      <c r="C23" s="12" t="s">
        <v>59</v>
      </c>
      <c r="D23" s="10" t="s">
        <v>60</v>
      </c>
      <c r="E23" s="10" t="s">
        <v>58</v>
      </c>
      <c r="F23" s="10" t="n">
        <v>2</v>
      </c>
      <c r="G23" s="13" t="n">
        <v>2.5</v>
      </c>
      <c r="H23" s="13" t="n">
        <f aca="false">F23*G23</f>
        <v>5</v>
      </c>
      <c r="I23" s="13" t="n">
        <f aca="false">H23*0.12</f>
        <v>0.6</v>
      </c>
      <c r="J23" s="13" t="n">
        <f aca="false">H23+I23</f>
        <v>5.6</v>
      </c>
    </row>
    <row r="24" customFormat="false" ht="21.75" hidden="false" customHeight="true" outlineLevel="0" collapsed="false">
      <c r="A24" s="6" t="n">
        <v>11</v>
      </c>
      <c r="B24" s="7" t="s">
        <v>55</v>
      </c>
      <c r="C24" s="8" t="s">
        <v>61</v>
      </c>
      <c r="D24" s="6" t="s">
        <v>50</v>
      </c>
      <c r="E24" s="6" t="s">
        <v>58</v>
      </c>
      <c r="F24" s="6" t="n">
        <v>1</v>
      </c>
      <c r="G24" s="9" t="n">
        <v>2</v>
      </c>
      <c r="H24" s="9" t="n">
        <f aca="false">F24*G24</f>
        <v>2</v>
      </c>
      <c r="I24" s="9" t="n">
        <f aca="false">H24*0.12</f>
        <v>0.24</v>
      </c>
      <c r="J24" s="9" t="n">
        <f aca="false">H24+I24</f>
        <v>2.24</v>
      </c>
    </row>
    <row r="25" customFormat="false" ht="21.75" hidden="false" customHeight="true" outlineLevel="0" collapsed="false">
      <c r="A25" s="10" t="n">
        <v>12</v>
      </c>
      <c r="B25" s="11" t="s">
        <v>55</v>
      </c>
      <c r="C25" s="12" t="s">
        <v>62</v>
      </c>
      <c r="D25" s="10" t="s">
        <v>50</v>
      </c>
      <c r="E25" s="10" t="s">
        <v>58</v>
      </c>
      <c r="F25" s="10" t="n">
        <v>1</v>
      </c>
      <c r="G25" s="13" t="n">
        <v>1</v>
      </c>
      <c r="H25" s="13" t="n">
        <f aca="false">F25*G25</f>
        <v>1</v>
      </c>
      <c r="I25" s="13" t="n">
        <f aca="false">H25*0.12</f>
        <v>0.12</v>
      </c>
      <c r="J25" s="13" t="n">
        <f aca="false">H25+I25</f>
        <v>1.12</v>
      </c>
    </row>
    <row r="26" customFormat="false" ht="21.75" hidden="false" customHeight="true" outlineLevel="0" collapsed="false">
      <c r="A26" s="6" t="n">
        <v>13</v>
      </c>
      <c r="B26" s="7" t="s">
        <v>55</v>
      </c>
      <c r="C26" s="8" t="s">
        <v>63</v>
      </c>
      <c r="D26" s="6" t="s">
        <v>64</v>
      </c>
      <c r="E26" s="6" t="s">
        <v>58</v>
      </c>
      <c r="F26" s="6" t="n">
        <v>1</v>
      </c>
      <c r="G26" s="9" t="n">
        <v>15</v>
      </c>
      <c r="H26" s="9" t="n">
        <f aca="false">F26*G26</f>
        <v>15</v>
      </c>
      <c r="I26" s="9" t="n">
        <f aca="false">H26*0.12</f>
        <v>1.8</v>
      </c>
      <c r="J26" s="9" t="n">
        <f aca="false">H26+I26</f>
        <v>16.8</v>
      </c>
    </row>
    <row r="27" customFormat="false" ht="18" hidden="false" customHeight="true" outlineLevel="0" collapsed="false">
      <c r="A27" s="5" t="s">
        <v>65</v>
      </c>
      <c r="B27" s="5"/>
      <c r="C27" s="5"/>
      <c r="D27" s="5"/>
      <c r="E27" s="5"/>
      <c r="F27" s="5"/>
      <c r="G27" s="5"/>
      <c r="H27" s="5"/>
      <c r="I27" s="5"/>
      <c r="J27" s="5"/>
    </row>
    <row r="28" customFormat="false" ht="21.75" hidden="false" customHeight="true" outlineLevel="0" collapsed="false">
      <c r="A28" s="10" t="n">
        <v>14</v>
      </c>
      <c r="B28" s="11" t="s">
        <v>66</v>
      </c>
      <c r="C28" s="12" t="s">
        <v>67</v>
      </c>
      <c r="D28" s="10" t="s">
        <v>50</v>
      </c>
      <c r="E28" s="10" t="s">
        <v>58</v>
      </c>
      <c r="F28" s="10" t="n">
        <v>1</v>
      </c>
      <c r="G28" s="13" t="n">
        <v>30</v>
      </c>
      <c r="H28" s="13" t="n">
        <f aca="false">F28*G28</f>
        <v>30</v>
      </c>
      <c r="I28" s="13" t="n">
        <f aca="false">H28*0.12</f>
        <v>3.6</v>
      </c>
      <c r="J28" s="13" t="n">
        <f aca="false">H28+I28</f>
        <v>33.6</v>
      </c>
    </row>
    <row r="29" customFormat="false" ht="21.75" hidden="false" customHeight="true" outlineLevel="0" collapsed="false">
      <c r="A29" s="6" t="n">
        <v>15</v>
      </c>
      <c r="B29" s="7" t="s">
        <v>66</v>
      </c>
      <c r="C29" s="8" t="s">
        <v>68</v>
      </c>
      <c r="D29" s="6" t="s">
        <v>50</v>
      </c>
      <c r="E29" s="6" t="s">
        <v>58</v>
      </c>
      <c r="F29" s="6" t="n">
        <v>1</v>
      </c>
      <c r="G29" s="9" t="n">
        <v>0</v>
      </c>
      <c r="H29" s="9" t="n">
        <f aca="false">F29*G29</f>
        <v>0</v>
      </c>
      <c r="I29" s="9" t="n">
        <f aca="false">H29*0.12</f>
        <v>0</v>
      </c>
      <c r="J29" s="9" t="n">
        <f aca="false">H29+I29</f>
        <v>0</v>
      </c>
    </row>
    <row r="30" customFormat="false" ht="21.75" hidden="false" customHeight="true" outlineLevel="0" collapsed="false">
      <c r="A30" s="10" t="n">
        <v>16</v>
      </c>
      <c r="B30" s="11" t="s">
        <v>66</v>
      </c>
      <c r="C30" s="12" t="s">
        <v>69</v>
      </c>
      <c r="D30" s="10" t="s">
        <v>50</v>
      </c>
      <c r="E30" s="10" t="s">
        <v>58</v>
      </c>
      <c r="F30" s="10" t="n">
        <v>1</v>
      </c>
      <c r="G30" s="13" t="n">
        <v>3.5</v>
      </c>
      <c r="H30" s="13" t="n">
        <f aca="false">F30*G30</f>
        <v>3.5</v>
      </c>
      <c r="I30" s="13" t="n">
        <f aca="false">H30*0.12</f>
        <v>0.42</v>
      </c>
      <c r="J30" s="13" t="n">
        <f aca="false">H30+I30</f>
        <v>3.92</v>
      </c>
    </row>
    <row r="31" customFormat="false" ht="21.75" hidden="false" customHeight="true" outlineLevel="0" collapsed="false">
      <c r="A31" s="6" t="n">
        <v>17</v>
      </c>
      <c r="B31" s="7" t="s">
        <v>66</v>
      </c>
      <c r="C31" s="8" t="s">
        <v>70</v>
      </c>
      <c r="D31" s="6" t="s">
        <v>50</v>
      </c>
      <c r="E31" s="6" t="s">
        <v>58</v>
      </c>
      <c r="F31" s="6" t="n">
        <v>1</v>
      </c>
      <c r="G31" s="9" t="n">
        <v>3.5</v>
      </c>
      <c r="H31" s="9" t="n">
        <f aca="false">F31*G31</f>
        <v>3.5</v>
      </c>
      <c r="I31" s="9" t="n">
        <f aca="false">H31*0.12</f>
        <v>0.42</v>
      </c>
      <c r="J31" s="9" t="n">
        <f aca="false">H31+I31</f>
        <v>3.92</v>
      </c>
    </row>
    <row r="32" customFormat="false" ht="18" hidden="false" customHeight="true" outlineLevel="0" collapsed="false">
      <c r="A32" s="5" t="s">
        <v>71</v>
      </c>
      <c r="B32" s="5"/>
      <c r="C32" s="5"/>
      <c r="D32" s="5"/>
      <c r="E32" s="5"/>
      <c r="F32" s="5"/>
      <c r="G32" s="5"/>
      <c r="H32" s="5"/>
      <c r="I32" s="5"/>
      <c r="J32" s="5"/>
    </row>
    <row r="33" customFormat="false" ht="21.75" hidden="false" customHeight="true" outlineLevel="0" collapsed="false">
      <c r="A33" s="10" t="n">
        <v>18</v>
      </c>
      <c r="B33" s="11" t="s">
        <v>72</v>
      </c>
      <c r="C33" s="12" t="s">
        <v>73</v>
      </c>
      <c r="D33" s="10" t="s">
        <v>50</v>
      </c>
      <c r="E33" s="10" t="s">
        <v>58</v>
      </c>
      <c r="F33" s="10" t="n">
        <v>1</v>
      </c>
      <c r="G33" s="13" t="n">
        <v>5</v>
      </c>
      <c r="H33" s="13" t="n">
        <f aca="false">F33*G33</f>
        <v>5</v>
      </c>
      <c r="I33" s="13" t="n">
        <f aca="false">H33*0.18</f>
        <v>0.9</v>
      </c>
      <c r="J33" s="13" t="n">
        <f aca="false">H33+I33</f>
        <v>5.9</v>
      </c>
    </row>
    <row r="34" customFormat="false" ht="21.75" hidden="false" customHeight="true" outlineLevel="0" collapsed="false">
      <c r="A34" s="6" t="n">
        <v>19</v>
      </c>
      <c r="B34" s="7" t="s">
        <v>72</v>
      </c>
      <c r="C34" s="8" t="s">
        <v>74</v>
      </c>
      <c r="D34" s="6" t="s">
        <v>50</v>
      </c>
      <c r="E34" s="6" t="s">
        <v>58</v>
      </c>
      <c r="F34" s="6" t="n">
        <v>1</v>
      </c>
      <c r="G34" s="9" t="n">
        <v>5</v>
      </c>
      <c r="H34" s="9" t="n">
        <f aca="false">F34*G34</f>
        <v>5</v>
      </c>
      <c r="I34" s="9" t="n">
        <f aca="false">H34*0.18</f>
        <v>0.9</v>
      </c>
      <c r="J34" s="9" t="n">
        <f aca="false">H34+I34</f>
        <v>5.9</v>
      </c>
    </row>
    <row r="35" customFormat="false" ht="21.75" hidden="false" customHeight="true" outlineLevel="0" collapsed="false">
      <c r="A35" s="10" t="n">
        <v>20</v>
      </c>
      <c r="B35" s="11" t="s">
        <v>72</v>
      </c>
      <c r="C35" s="12" t="s">
        <v>75</v>
      </c>
      <c r="D35" s="10" t="s">
        <v>50</v>
      </c>
      <c r="E35" s="10" t="s">
        <v>76</v>
      </c>
      <c r="F35" s="10" t="n">
        <v>1</v>
      </c>
      <c r="G35" s="13" t="n">
        <v>12</v>
      </c>
      <c r="H35" s="13" t="n">
        <f aca="false">F35*G35</f>
        <v>12</v>
      </c>
      <c r="I35" s="13" t="n">
        <f aca="false">H35*0.18</f>
        <v>2.16</v>
      </c>
      <c r="J35" s="13" t="n">
        <f aca="false">H35+I35</f>
        <v>14.16</v>
      </c>
    </row>
    <row r="36" customFormat="false" ht="21.75" hidden="false" customHeight="true" outlineLevel="0" collapsed="false">
      <c r="A36" s="6" t="n">
        <v>21</v>
      </c>
      <c r="B36" s="7" t="s">
        <v>72</v>
      </c>
      <c r="C36" s="8" t="s">
        <v>77</v>
      </c>
      <c r="D36" s="6" t="s">
        <v>50</v>
      </c>
      <c r="E36" s="6" t="s">
        <v>76</v>
      </c>
      <c r="F36" s="6" t="n">
        <v>0.2</v>
      </c>
      <c r="G36" s="9" t="n">
        <v>115</v>
      </c>
      <c r="H36" s="9" t="n">
        <f aca="false">F36*G36</f>
        <v>23</v>
      </c>
      <c r="I36" s="9" t="n">
        <f aca="false">H36*0.18</f>
        <v>4.14</v>
      </c>
      <c r="J36" s="9" t="n">
        <f aca="false">H36+I36</f>
        <v>27.14</v>
      </c>
    </row>
    <row r="37" customFormat="false" ht="21.75" hidden="false" customHeight="true" outlineLevel="0" collapsed="false">
      <c r="A37" s="10" t="n">
        <v>22</v>
      </c>
      <c r="B37" s="11" t="s">
        <v>72</v>
      </c>
      <c r="C37" s="12" t="s">
        <v>78</v>
      </c>
      <c r="D37" s="10" t="s">
        <v>50</v>
      </c>
      <c r="E37" s="10" t="s">
        <v>79</v>
      </c>
      <c r="F37" s="10" t="n">
        <v>2</v>
      </c>
      <c r="G37" s="13" t="n">
        <v>1.35</v>
      </c>
      <c r="H37" s="13" t="n">
        <f aca="false">F37*G37</f>
        <v>2.7</v>
      </c>
      <c r="I37" s="13" t="n">
        <f aca="false">H37*0.18</f>
        <v>0.486</v>
      </c>
      <c r="J37" s="13" t="n">
        <f aca="false">H37+I37</f>
        <v>3.186</v>
      </c>
    </row>
    <row r="38" customFormat="false" ht="21.75" hidden="false" customHeight="true" outlineLevel="0" collapsed="false">
      <c r="A38" s="6" t="n">
        <v>23</v>
      </c>
      <c r="B38" s="7" t="s">
        <v>72</v>
      </c>
      <c r="C38" s="8" t="s">
        <v>80</v>
      </c>
      <c r="D38" s="6" t="s">
        <v>50</v>
      </c>
      <c r="E38" s="6" t="s">
        <v>58</v>
      </c>
      <c r="F38" s="6" t="n">
        <v>0.07</v>
      </c>
      <c r="G38" s="9" t="n">
        <v>168</v>
      </c>
      <c r="H38" s="9" t="n">
        <f aca="false">F38*G38</f>
        <v>11.76</v>
      </c>
      <c r="I38" s="9" t="n">
        <f aca="false">H38*0.18</f>
        <v>2.1168</v>
      </c>
      <c r="J38" s="9" t="n">
        <f aca="false">H38+I38</f>
        <v>13.8768</v>
      </c>
    </row>
    <row r="39" customFormat="false" ht="21.75" hidden="false" customHeight="true" outlineLevel="0" collapsed="false">
      <c r="A39" s="10" t="n">
        <v>24</v>
      </c>
      <c r="B39" s="11" t="s">
        <v>72</v>
      </c>
      <c r="C39" s="12" t="s">
        <v>81</v>
      </c>
      <c r="D39" s="10" t="s">
        <v>82</v>
      </c>
      <c r="E39" s="10" t="s">
        <v>83</v>
      </c>
      <c r="F39" s="10" t="n">
        <v>0.1</v>
      </c>
      <c r="G39" s="13" t="n">
        <v>54</v>
      </c>
      <c r="H39" s="13" t="n">
        <f aca="false">F39*G39</f>
        <v>5.4</v>
      </c>
      <c r="I39" s="13" t="n">
        <f aca="false">H39*0.18</f>
        <v>0.972</v>
      </c>
      <c r="J39" s="13" t="n">
        <f aca="false">H39+I39</f>
        <v>6.372</v>
      </c>
    </row>
    <row r="40" customFormat="false" ht="18" hidden="false" customHeight="true" outlineLevel="0" collapsed="false">
      <c r="A40" s="5" t="s">
        <v>84</v>
      </c>
      <c r="B40" s="5"/>
      <c r="C40" s="5"/>
      <c r="D40" s="5"/>
      <c r="E40" s="5"/>
      <c r="F40" s="5"/>
      <c r="G40" s="5"/>
      <c r="H40" s="5"/>
      <c r="I40" s="5"/>
      <c r="J40" s="5"/>
    </row>
    <row r="41" customFormat="false" ht="21.75" hidden="false" customHeight="true" outlineLevel="0" collapsed="false">
      <c r="A41" s="6" t="n">
        <v>25</v>
      </c>
      <c r="B41" s="7" t="s">
        <v>85</v>
      </c>
      <c r="C41" s="8" t="s">
        <v>86</v>
      </c>
      <c r="D41" s="6" t="s">
        <v>87</v>
      </c>
      <c r="E41" s="6" t="s">
        <v>58</v>
      </c>
      <c r="F41" s="6" t="n">
        <v>1</v>
      </c>
      <c r="G41" s="9" t="n">
        <v>1000</v>
      </c>
      <c r="H41" s="9" t="n">
        <f aca="false">F41*G41</f>
        <v>1000</v>
      </c>
      <c r="I41" s="9" t="n">
        <f aca="false">H41*0</f>
        <v>0</v>
      </c>
      <c r="J41" s="9" t="n">
        <f aca="false">H41+I41</f>
        <v>1000</v>
      </c>
    </row>
    <row r="42" customFormat="false" ht="21.75" hidden="false" customHeight="true" outlineLevel="0" collapsed="false">
      <c r="A42" s="10" t="n">
        <v>26</v>
      </c>
      <c r="B42" s="11" t="s">
        <v>88</v>
      </c>
      <c r="C42" s="12" t="s">
        <v>89</v>
      </c>
      <c r="D42" s="10" t="s">
        <v>87</v>
      </c>
      <c r="E42" s="10" t="s">
        <v>58</v>
      </c>
      <c r="F42" s="10" t="n">
        <v>1</v>
      </c>
      <c r="G42" s="13" t="n">
        <v>450</v>
      </c>
      <c r="H42" s="13" t="n">
        <f aca="false">F42*G42</f>
        <v>450</v>
      </c>
      <c r="I42" s="13" t="n">
        <f aca="false">H42*0</f>
        <v>0</v>
      </c>
      <c r="J42" s="13" t="n">
        <f aca="false">H42+I42</f>
        <v>450</v>
      </c>
    </row>
    <row r="44" customFormat="false" ht="21.75" hidden="false" customHeight="true" outlineLevel="0" collapsed="false">
      <c r="A44" s="14" t="s">
        <v>90</v>
      </c>
      <c r="B44" s="14"/>
      <c r="C44" s="14"/>
      <c r="D44" s="14"/>
      <c r="E44" s="14"/>
      <c r="F44" s="14"/>
      <c r="G44" s="14"/>
      <c r="H44" s="15" t="n">
        <f aca="false">H10+H12+H14+H15+H16+H18+H19+H20+H22+H23+H24+H25+H26+H28+H29+H30+H31+H33+H34+H35+H36+H37+H38+H39+H41+H42</f>
        <v>46583.11</v>
      </c>
      <c r="I44" s="15" t="n">
        <f aca="false">I10+I12+I14+I15+I16+I18+I19+I20+I22+I23+I24+I25+I26+I28+I29+I30+I31+I33+I34+I35+I36+I37+I38+I39+I41+I42</f>
        <v>5075.1598</v>
      </c>
      <c r="J44" s="15" t="n">
        <f aca="false">J10+J12+J14+J15+J16+J18+J19+J20+J22+J23+J24+J25+J26+J28+J29+J30+J31+J33+J34+J35+J36+J37+J38+J39+J41+J42</f>
        <v>51658.2698</v>
      </c>
    </row>
    <row r="45" customFormat="false" ht="18" hidden="false" customHeight="true" outlineLevel="0" collapsed="false">
      <c r="A45" s="16" t="s">
        <v>91</v>
      </c>
      <c r="B45" s="16"/>
      <c r="C45" s="16"/>
      <c r="D45" s="16"/>
      <c r="E45" s="16"/>
      <c r="F45" s="16"/>
      <c r="G45" s="16"/>
      <c r="H45" s="17"/>
      <c r="I45" s="17"/>
      <c r="J45" s="17"/>
    </row>
    <row r="47" customFormat="false" ht="39.75" hidden="false" customHeight="true" outlineLevel="0" collapsed="false">
      <c r="A47" s="18" t="s">
        <v>92</v>
      </c>
      <c r="B47" s="18"/>
      <c r="C47" s="18"/>
      <c r="D47" s="18"/>
      <c r="E47" s="18"/>
      <c r="F47" s="18"/>
      <c r="G47" s="18"/>
      <c r="H47" s="18"/>
      <c r="I47" s="18"/>
      <c r="J47" s="18"/>
    </row>
  </sheetData>
  <mergeCells count="32">
    <mergeCell ref="A1:J1"/>
    <mergeCell ref="A2:B2"/>
    <mergeCell ref="C2:E2"/>
    <mergeCell ref="F2:G2"/>
    <mergeCell ref="H2:J2"/>
    <mergeCell ref="A3:B3"/>
    <mergeCell ref="C3:E3"/>
    <mergeCell ref="F3:G3"/>
    <mergeCell ref="H3:J3"/>
    <mergeCell ref="A4:B4"/>
    <mergeCell ref="C4:E4"/>
    <mergeCell ref="F4:G4"/>
    <mergeCell ref="H4:J4"/>
    <mergeCell ref="A5:B5"/>
    <mergeCell ref="C5:E5"/>
    <mergeCell ref="F5:G5"/>
    <mergeCell ref="H5:J5"/>
    <mergeCell ref="A6:B6"/>
    <mergeCell ref="C6:E6"/>
    <mergeCell ref="F6:G6"/>
    <mergeCell ref="H6:J6"/>
    <mergeCell ref="A9:J9"/>
    <mergeCell ref="A11:J11"/>
    <mergeCell ref="A13:J13"/>
    <mergeCell ref="A17:J17"/>
    <mergeCell ref="A21:J21"/>
    <mergeCell ref="A27:J27"/>
    <mergeCell ref="A32:J32"/>
    <mergeCell ref="A40:J40"/>
    <mergeCell ref="A44:G44"/>
    <mergeCell ref="A45:G45"/>
    <mergeCell ref="A47:J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6.5" hidden="false" customHeight="true" outlineLevel="0" collapsed="false">
      <c r="A2" s="2" t="s">
        <v>1</v>
      </c>
      <c r="B2" s="2"/>
      <c r="C2" s="3" t="s">
        <v>2</v>
      </c>
      <c r="D2" s="3"/>
      <c r="E2" s="3"/>
      <c r="F2" s="2" t="s">
        <v>3</v>
      </c>
      <c r="G2" s="2"/>
      <c r="H2" s="3" t="s">
        <v>4</v>
      </c>
      <c r="I2" s="3"/>
      <c r="J2" s="3"/>
    </row>
    <row r="3" customFormat="false" ht="16.5" hidden="false" customHeight="true" outlineLevel="0" collapsed="false">
      <c r="A3" s="2" t="s">
        <v>5</v>
      </c>
      <c r="B3" s="2"/>
      <c r="C3" s="3" t="s">
        <v>6</v>
      </c>
      <c r="D3" s="3"/>
      <c r="E3" s="3"/>
      <c r="F3" s="2" t="s">
        <v>7</v>
      </c>
      <c r="G3" s="2"/>
      <c r="H3" s="3" t="s">
        <v>8</v>
      </c>
      <c r="I3" s="3"/>
      <c r="J3" s="3"/>
    </row>
    <row r="4" customFormat="false" ht="16.5" hidden="false" customHeight="true" outlineLevel="0" collapsed="false">
      <c r="A4" s="2" t="s">
        <v>9</v>
      </c>
      <c r="B4" s="2"/>
      <c r="C4" s="3" t="s">
        <v>93</v>
      </c>
      <c r="D4" s="3"/>
      <c r="E4" s="3"/>
      <c r="F4" s="2" t="s">
        <v>11</v>
      </c>
      <c r="G4" s="2"/>
      <c r="H4" s="3" t="s">
        <v>94</v>
      </c>
      <c r="I4" s="3"/>
      <c r="J4" s="3"/>
    </row>
    <row r="5" customFormat="false" ht="16.5" hidden="false" customHeight="true" outlineLevel="0" collapsed="false">
      <c r="A5" s="2" t="s">
        <v>13</v>
      </c>
      <c r="B5" s="2"/>
      <c r="C5" s="3" t="s">
        <v>14</v>
      </c>
      <c r="D5" s="3"/>
      <c r="E5" s="3"/>
      <c r="F5" s="2" t="s">
        <v>15</v>
      </c>
      <c r="G5" s="2"/>
      <c r="H5" s="3" t="s">
        <v>16</v>
      </c>
      <c r="I5" s="3"/>
      <c r="J5" s="3"/>
    </row>
    <row r="6" customFormat="false" ht="16.5" hidden="false" customHeight="true" outlineLevel="0" collapsed="false">
      <c r="A6" s="2" t="s">
        <v>17</v>
      </c>
      <c r="B6" s="2"/>
      <c r="C6" s="3" t="s">
        <v>18</v>
      </c>
      <c r="D6" s="3"/>
      <c r="E6" s="3"/>
      <c r="F6" s="2" t="s">
        <v>19</v>
      </c>
      <c r="G6" s="2"/>
      <c r="H6" s="3" t="s">
        <v>20</v>
      </c>
      <c r="I6" s="3"/>
      <c r="J6" s="3"/>
    </row>
    <row r="8" customFormat="false" ht="27.75" hidden="false" customHeight="true" outlineLevel="0" collapsed="false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27</v>
      </c>
      <c r="H8" s="4" t="s">
        <v>28</v>
      </c>
      <c r="I8" s="4" t="s">
        <v>29</v>
      </c>
      <c r="J8" s="4" t="s">
        <v>30</v>
      </c>
    </row>
    <row r="9" customFormat="false" ht="18" hidden="false" customHeight="true" outlineLevel="0" collapsed="false">
      <c r="A9" s="5" t="s">
        <v>31</v>
      </c>
      <c r="B9" s="5"/>
      <c r="C9" s="5"/>
      <c r="D9" s="5"/>
      <c r="E9" s="5"/>
      <c r="F9" s="5"/>
      <c r="G9" s="5"/>
      <c r="H9" s="5"/>
      <c r="I9" s="5"/>
      <c r="J9" s="5"/>
    </row>
    <row r="10" customFormat="false" ht="21.75" hidden="false" customHeight="true" outlineLevel="0" collapsed="false">
      <c r="A10" s="6" t="n">
        <v>1</v>
      </c>
      <c r="B10" s="7" t="s">
        <v>32</v>
      </c>
      <c r="C10" s="8" t="s">
        <v>14</v>
      </c>
      <c r="D10" s="6" t="s">
        <v>94</v>
      </c>
      <c r="E10" s="6" t="s">
        <v>33</v>
      </c>
      <c r="F10" s="6" t="n">
        <v>327</v>
      </c>
      <c r="G10" s="9" t="n">
        <v>14</v>
      </c>
      <c r="H10" s="9" t="n">
        <f aca="false">F10*G10</f>
        <v>4578</v>
      </c>
      <c r="I10" s="9" t="n">
        <f aca="false">H10*0.05</f>
        <v>228.9</v>
      </c>
      <c r="J10" s="9" t="n">
        <f aca="false">H10+I10</f>
        <v>4806.9</v>
      </c>
    </row>
    <row r="11" customFormat="false" ht="18" hidden="false" customHeight="true" outlineLevel="0" collapsed="false">
      <c r="A11" s="5" t="s">
        <v>34</v>
      </c>
      <c r="B11" s="5"/>
      <c r="C11" s="5"/>
      <c r="D11" s="5"/>
      <c r="E11" s="5"/>
      <c r="F11" s="5"/>
      <c r="G11" s="5"/>
      <c r="H11" s="5"/>
      <c r="I11" s="5"/>
      <c r="J11" s="5"/>
    </row>
    <row r="12" customFormat="false" ht="21.75" hidden="false" customHeight="true" outlineLevel="0" collapsed="false">
      <c r="A12" s="10" t="n">
        <v>2</v>
      </c>
      <c r="B12" s="11" t="s">
        <v>35</v>
      </c>
      <c r="C12" s="12" t="s">
        <v>36</v>
      </c>
      <c r="D12" s="10" t="s">
        <v>94</v>
      </c>
      <c r="E12" s="10" t="s">
        <v>37</v>
      </c>
      <c r="F12" s="10" t="n">
        <v>1</v>
      </c>
      <c r="G12" s="13" t="n">
        <v>55</v>
      </c>
      <c r="H12" s="13" t="n">
        <f aca="false">F12*G12</f>
        <v>55</v>
      </c>
      <c r="I12" s="13" t="n">
        <f aca="false">H12*0.12</f>
        <v>6.6</v>
      </c>
      <c r="J12" s="13" t="n">
        <f aca="false">H12+I12</f>
        <v>61.6</v>
      </c>
    </row>
    <row r="13" customFormat="false" ht="18" hidden="false" customHeight="true" outlineLevel="0" collapsed="false">
      <c r="A13" s="5" t="s">
        <v>38</v>
      </c>
      <c r="B13" s="5"/>
      <c r="C13" s="5"/>
      <c r="D13" s="5"/>
      <c r="E13" s="5"/>
      <c r="F13" s="5"/>
      <c r="G13" s="5"/>
      <c r="H13" s="5"/>
      <c r="I13" s="5"/>
      <c r="J13" s="5"/>
    </row>
    <row r="14" customFormat="false" ht="21.75" hidden="false" customHeight="true" outlineLevel="0" collapsed="false">
      <c r="A14" s="6" t="n">
        <v>3</v>
      </c>
      <c r="B14" s="7" t="s">
        <v>39</v>
      </c>
      <c r="C14" s="8" t="s">
        <v>40</v>
      </c>
      <c r="D14" s="6" t="s">
        <v>41</v>
      </c>
      <c r="E14" s="6" t="s">
        <v>42</v>
      </c>
      <c r="F14" s="6" t="n">
        <v>100</v>
      </c>
      <c r="G14" s="9" t="n">
        <v>61</v>
      </c>
      <c r="H14" s="9" t="n">
        <f aca="false">F14*G14</f>
        <v>6100</v>
      </c>
      <c r="I14" s="9" t="n">
        <f aca="false">H14*0.12</f>
        <v>732</v>
      </c>
      <c r="J14" s="9" t="n">
        <f aca="false">H14+I14</f>
        <v>6832</v>
      </c>
    </row>
    <row r="15" customFormat="false" ht="21.75" hidden="false" customHeight="true" outlineLevel="0" collapsed="false">
      <c r="A15" s="10" t="n">
        <v>4</v>
      </c>
      <c r="B15" s="11" t="s">
        <v>39</v>
      </c>
      <c r="C15" s="12" t="s">
        <v>43</v>
      </c>
      <c r="D15" s="10" t="s">
        <v>41</v>
      </c>
      <c r="E15" s="10" t="s">
        <v>42</v>
      </c>
      <c r="F15" s="10" t="n">
        <v>100</v>
      </c>
      <c r="G15" s="13" t="n">
        <v>257</v>
      </c>
      <c r="H15" s="13" t="n">
        <f aca="false">F15*G15</f>
        <v>25700</v>
      </c>
      <c r="I15" s="13" t="n">
        <f aca="false">H15*0.12</f>
        <v>3084</v>
      </c>
      <c r="J15" s="13" t="n">
        <f aca="false">H15+I15</f>
        <v>28784</v>
      </c>
    </row>
    <row r="16" customFormat="false" ht="21.75" hidden="false" customHeight="true" outlineLevel="0" collapsed="false">
      <c r="A16" s="6" t="n">
        <v>5</v>
      </c>
      <c r="B16" s="7" t="s">
        <v>39</v>
      </c>
      <c r="C16" s="8" t="s">
        <v>44</v>
      </c>
      <c r="D16" s="6" t="s">
        <v>41</v>
      </c>
      <c r="E16" s="6" t="s">
        <v>42</v>
      </c>
      <c r="F16" s="6" t="n">
        <v>50</v>
      </c>
      <c r="G16" s="9" t="n">
        <v>162</v>
      </c>
      <c r="H16" s="9" t="n">
        <f aca="false">F16*G16</f>
        <v>8100</v>
      </c>
      <c r="I16" s="9" t="n">
        <f aca="false">H16*0.12</f>
        <v>972</v>
      </c>
      <c r="J16" s="9" t="n">
        <f aca="false">H16+I16</f>
        <v>9072</v>
      </c>
    </row>
    <row r="17" customFormat="false" ht="18" hidden="false" customHeight="true" outlineLevel="0" collapsed="false">
      <c r="A17" s="5" t="s">
        <v>45</v>
      </c>
      <c r="B17" s="5"/>
      <c r="C17" s="5"/>
      <c r="D17" s="5"/>
      <c r="E17" s="5"/>
      <c r="F17" s="5"/>
      <c r="G17" s="5"/>
      <c r="H17" s="5"/>
      <c r="I17" s="5"/>
      <c r="J17" s="5"/>
    </row>
    <row r="18" customFormat="false" ht="21.75" hidden="false" customHeight="true" outlineLevel="0" collapsed="false">
      <c r="A18" s="10" t="n">
        <v>6</v>
      </c>
      <c r="B18" s="11" t="s">
        <v>46</v>
      </c>
      <c r="C18" s="12" t="s">
        <v>46</v>
      </c>
      <c r="D18" s="10" t="s">
        <v>47</v>
      </c>
      <c r="E18" s="10" t="s">
        <v>48</v>
      </c>
      <c r="F18" s="10" t="n">
        <v>0.5</v>
      </c>
      <c r="G18" s="13" t="n">
        <v>18</v>
      </c>
      <c r="H18" s="13" t="n">
        <f aca="false">F18*G18</f>
        <v>9</v>
      </c>
      <c r="I18" s="13" t="n">
        <f aca="false">H18*0.18</f>
        <v>1.62</v>
      </c>
      <c r="J18" s="13" t="n">
        <f aca="false">H18+I18</f>
        <v>10.62</v>
      </c>
    </row>
    <row r="19" customFormat="false" ht="21.75" hidden="false" customHeight="true" outlineLevel="0" collapsed="false">
      <c r="A19" s="6" t="n">
        <v>7</v>
      </c>
      <c r="B19" s="7" t="s">
        <v>46</v>
      </c>
      <c r="C19" s="8" t="s">
        <v>49</v>
      </c>
      <c r="D19" s="6" t="s">
        <v>50</v>
      </c>
      <c r="E19" s="6" t="s">
        <v>51</v>
      </c>
      <c r="F19" s="6" t="n">
        <v>0.15</v>
      </c>
      <c r="G19" s="9" t="n">
        <v>95</v>
      </c>
      <c r="H19" s="9" t="n">
        <f aca="false">F19*G19</f>
        <v>14.25</v>
      </c>
      <c r="I19" s="9" t="n">
        <f aca="false">H19*0.18</f>
        <v>2.565</v>
      </c>
      <c r="J19" s="9" t="n">
        <f aca="false">H19+I19</f>
        <v>16.815</v>
      </c>
    </row>
    <row r="20" customFormat="false" ht="21.75" hidden="false" customHeight="true" outlineLevel="0" collapsed="false">
      <c r="A20" s="10" t="n">
        <v>8</v>
      </c>
      <c r="B20" s="11" t="s">
        <v>46</v>
      </c>
      <c r="C20" s="12" t="s">
        <v>52</v>
      </c>
      <c r="D20" s="10" t="s">
        <v>53</v>
      </c>
      <c r="E20" s="10" t="s">
        <v>48</v>
      </c>
      <c r="F20" s="10" t="n">
        <v>3.75</v>
      </c>
      <c r="G20" s="13" t="n">
        <v>8</v>
      </c>
      <c r="H20" s="13" t="n">
        <f aca="false">F20*G20</f>
        <v>30</v>
      </c>
      <c r="I20" s="13" t="n">
        <f aca="false">H20*0.18</f>
        <v>5.4</v>
      </c>
      <c r="J20" s="13" t="n">
        <f aca="false">H20+I20</f>
        <v>35.4</v>
      </c>
    </row>
    <row r="21" customFormat="false" ht="18" hidden="false" customHeight="true" outlineLevel="0" collapsed="false">
      <c r="A21" s="5" t="s">
        <v>54</v>
      </c>
      <c r="B21" s="5"/>
      <c r="C21" s="5"/>
      <c r="D21" s="5"/>
      <c r="E21" s="5"/>
      <c r="F21" s="5"/>
      <c r="G21" s="5"/>
      <c r="H21" s="5"/>
      <c r="I21" s="5"/>
      <c r="J21" s="5"/>
    </row>
    <row r="22" customFormat="false" ht="21.75" hidden="false" customHeight="true" outlineLevel="0" collapsed="false">
      <c r="A22" s="6" t="n">
        <v>9</v>
      </c>
      <c r="B22" s="7" t="s">
        <v>55</v>
      </c>
      <c r="C22" s="8" t="s">
        <v>95</v>
      </c>
      <c r="D22" s="6" t="s">
        <v>94</v>
      </c>
      <c r="E22" s="6" t="s">
        <v>58</v>
      </c>
      <c r="F22" s="6" t="n">
        <v>5</v>
      </c>
      <c r="G22" s="9" t="n">
        <v>15</v>
      </c>
      <c r="H22" s="9" t="n">
        <f aca="false">F22*G22</f>
        <v>75</v>
      </c>
      <c r="I22" s="9" t="n">
        <f aca="false">H22*0.12</f>
        <v>9</v>
      </c>
      <c r="J22" s="9" t="n">
        <f aca="false">H22+I22</f>
        <v>84</v>
      </c>
    </row>
    <row r="23" customFormat="false" ht="21.75" hidden="false" customHeight="true" outlineLevel="0" collapsed="false">
      <c r="A23" s="10" t="n">
        <v>10</v>
      </c>
      <c r="B23" s="11" t="s">
        <v>55</v>
      </c>
      <c r="C23" s="12" t="s">
        <v>96</v>
      </c>
      <c r="D23" s="10" t="s">
        <v>97</v>
      </c>
      <c r="E23" s="10" t="s">
        <v>58</v>
      </c>
      <c r="F23" s="10" t="n">
        <v>5</v>
      </c>
      <c r="G23" s="13" t="n">
        <v>8</v>
      </c>
      <c r="H23" s="13" t="n">
        <f aca="false">F23*G23</f>
        <v>40</v>
      </c>
      <c r="I23" s="13" t="n">
        <f aca="false">H23*0.12</f>
        <v>4.8</v>
      </c>
      <c r="J23" s="13" t="n">
        <f aca="false">H23+I23</f>
        <v>44.8</v>
      </c>
    </row>
    <row r="24" customFormat="false" ht="21.75" hidden="false" customHeight="true" outlineLevel="0" collapsed="false">
      <c r="A24" s="6" t="n">
        <v>11</v>
      </c>
      <c r="B24" s="7" t="s">
        <v>55</v>
      </c>
      <c r="C24" s="8" t="s">
        <v>98</v>
      </c>
      <c r="D24" s="6" t="s">
        <v>50</v>
      </c>
      <c r="E24" s="6" t="s">
        <v>58</v>
      </c>
      <c r="F24" s="6" t="n">
        <v>4</v>
      </c>
      <c r="G24" s="9" t="n">
        <v>2</v>
      </c>
      <c r="H24" s="9" t="n">
        <f aca="false">F24*G24</f>
        <v>8</v>
      </c>
      <c r="I24" s="9" t="n">
        <f aca="false">H24*0.12</f>
        <v>0.96</v>
      </c>
      <c r="J24" s="9" t="n">
        <f aca="false">H24+I24</f>
        <v>8.96</v>
      </c>
    </row>
    <row r="25" customFormat="false" ht="21.75" hidden="false" customHeight="true" outlineLevel="0" collapsed="false">
      <c r="A25" s="10" t="n">
        <v>12</v>
      </c>
      <c r="B25" s="11" t="s">
        <v>55</v>
      </c>
      <c r="C25" s="12" t="s">
        <v>61</v>
      </c>
      <c r="D25" s="10" t="s">
        <v>50</v>
      </c>
      <c r="E25" s="10" t="s">
        <v>58</v>
      </c>
      <c r="F25" s="10" t="n">
        <v>1</v>
      </c>
      <c r="G25" s="13" t="n">
        <v>2</v>
      </c>
      <c r="H25" s="13" t="n">
        <f aca="false">F25*G25</f>
        <v>2</v>
      </c>
      <c r="I25" s="13" t="n">
        <f aca="false">H25*0.12</f>
        <v>0.24</v>
      </c>
      <c r="J25" s="13" t="n">
        <f aca="false">H25+I25</f>
        <v>2.24</v>
      </c>
    </row>
    <row r="26" customFormat="false" ht="21.75" hidden="false" customHeight="true" outlineLevel="0" collapsed="false">
      <c r="A26" s="6" t="n">
        <v>13</v>
      </c>
      <c r="B26" s="7" t="s">
        <v>55</v>
      </c>
      <c r="C26" s="8" t="s">
        <v>62</v>
      </c>
      <c r="D26" s="6" t="s">
        <v>50</v>
      </c>
      <c r="E26" s="6" t="s">
        <v>58</v>
      </c>
      <c r="F26" s="6" t="n">
        <v>1</v>
      </c>
      <c r="G26" s="9" t="n">
        <v>1</v>
      </c>
      <c r="H26" s="9" t="n">
        <f aca="false">F26*G26</f>
        <v>1</v>
      </c>
      <c r="I26" s="9" t="n">
        <f aca="false">H26*0.12</f>
        <v>0.12</v>
      </c>
      <c r="J26" s="9" t="n">
        <f aca="false">H26+I26</f>
        <v>1.12</v>
      </c>
    </row>
    <row r="27" customFormat="false" ht="21.75" hidden="false" customHeight="true" outlineLevel="0" collapsed="false">
      <c r="A27" s="10" t="n">
        <v>14</v>
      </c>
      <c r="B27" s="11" t="s">
        <v>55</v>
      </c>
      <c r="C27" s="12" t="s">
        <v>63</v>
      </c>
      <c r="D27" s="10" t="s">
        <v>64</v>
      </c>
      <c r="E27" s="10" t="s">
        <v>58</v>
      </c>
      <c r="F27" s="10" t="n">
        <v>1</v>
      </c>
      <c r="G27" s="13" t="n">
        <v>15</v>
      </c>
      <c r="H27" s="13" t="n">
        <f aca="false">F27*G27</f>
        <v>15</v>
      </c>
      <c r="I27" s="13" t="n">
        <f aca="false">H27*0.12</f>
        <v>1.8</v>
      </c>
      <c r="J27" s="13" t="n">
        <f aca="false">H27+I27</f>
        <v>16.8</v>
      </c>
    </row>
    <row r="28" customFormat="false" ht="18" hidden="false" customHeight="true" outlineLevel="0" collapsed="false">
      <c r="A28" s="5" t="s">
        <v>65</v>
      </c>
      <c r="B28" s="5"/>
      <c r="C28" s="5"/>
      <c r="D28" s="5"/>
      <c r="E28" s="5"/>
      <c r="F28" s="5"/>
      <c r="G28" s="5"/>
      <c r="H28" s="5"/>
      <c r="I28" s="5"/>
      <c r="J28" s="5"/>
    </row>
    <row r="29" customFormat="false" ht="21.75" hidden="false" customHeight="true" outlineLevel="0" collapsed="false">
      <c r="A29" s="6" t="n">
        <v>15</v>
      </c>
      <c r="B29" s="7" t="s">
        <v>66</v>
      </c>
      <c r="C29" s="8" t="s">
        <v>67</v>
      </c>
      <c r="D29" s="6" t="s">
        <v>50</v>
      </c>
      <c r="E29" s="6" t="s">
        <v>58</v>
      </c>
      <c r="F29" s="6" t="n">
        <v>1</v>
      </c>
      <c r="G29" s="9" t="n">
        <v>30</v>
      </c>
      <c r="H29" s="9" t="n">
        <f aca="false">F29*G29</f>
        <v>30</v>
      </c>
      <c r="I29" s="9" t="n">
        <f aca="false">H29*0.12</f>
        <v>3.6</v>
      </c>
      <c r="J29" s="9" t="n">
        <f aca="false">H29+I29</f>
        <v>33.6</v>
      </c>
    </row>
    <row r="30" customFormat="false" ht="21.75" hidden="false" customHeight="true" outlineLevel="0" collapsed="false">
      <c r="A30" s="10" t="n">
        <v>16</v>
      </c>
      <c r="B30" s="11" t="s">
        <v>66</v>
      </c>
      <c r="C30" s="12" t="s">
        <v>68</v>
      </c>
      <c r="D30" s="10" t="s">
        <v>50</v>
      </c>
      <c r="E30" s="10" t="s">
        <v>58</v>
      </c>
      <c r="F30" s="10" t="n">
        <v>1</v>
      </c>
      <c r="G30" s="13" t="n">
        <v>0</v>
      </c>
      <c r="H30" s="13" t="n">
        <f aca="false">F30*G30</f>
        <v>0</v>
      </c>
      <c r="I30" s="13" t="n">
        <f aca="false">H30*0.12</f>
        <v>0</v>
      </c>
      <c r="J30" s="13" t="n">
        <f aca="false">H30+I30</f>
        <v>0</v>
      </c>
    </row>
    <row r="31" customFormat="false" ht="21.75" hidden="false" customHeight="true" outlineLevel="0" collapsed="false">
      <c r="A31" s="6" t="n">
        <v>17</v>
      </c>
      <c r="B31" s="7" t="s">
        <v>66</v>
      </c>
      <c r="C31" s="8" t="s">
        <v>69</v>
      </c>
      <c r="D31" s="6" t="s">
        <v>50</v>
      </c>
      <c r="E31" s="6" t="s">
        <v>58</v>
      </c>
      <c r="F31" s="6" t="n">
        <v>1</v>
      </c>
      <c r="G31" s="9" t="n">
        <v>3.5</v>
      </c>
      <c r="H31" s="9" t="n">
        <f aca="false">F31*G31</f>
        <v>3.5</v>
      </c>
      <c r="I31" s="9" t="n">
        <f aca="false">H31*0.12</f>
        <v>0.42</v>
      </c>
      <c r="J31" s="9" t="n">
        <f aca="false">H31+I31</f>
        <v>3.92</v>
      </c>
    </row>
    <row r="32" customFormat="false" ht="21.75" hidden="false" customHeight="true" outlineLevel="0" collapsed="false">
      <c r="A32" s="10" t="n">
        <v>18</v>
      </c>
      <c r="B32" s="11" t="s">
        <v>66</v>
      </c>
      <c r="C32" s="12" t="s">
        <v>70</v>
      </c>
      <c r="D32" s="10" t="s">
        <v>50</v>
      </c>
      <c r="E32" s="10" t="s">
        <v>58</v>
      </c>
      <c r="F32" s="10" t="n">
        <v>1</v>
      </c>
      <c r="G32" s="13" t="n">
        <v>3.5</v>
      </c>
      <c r="H32" s="13" t="n">
        <f aca="false">F32*G32</f>
        <v>3.5</v>
      </c>
      <c r="I32" s="13" t="n">
        <f aca="false">H32*0.12</f>
        <v>0.42</v>
      </c>
      <c r="J32" s="13" t="n">
        <f aca="false">H32+I32</f>
        <v>3.92</v>
      </c>
    </row>
    <row r="33" customFormat="false" ht="18" hidden="false" customHeight="true" outlineLevel="0" collapsed="false">
      <c r="A33" s="5" t="s">
        <v>71</v>
      </c>
      <c r="B33" s="5"/>
      <c r="C33" s="5"/>
      <c r="D33" s="5"/>
      <c r="E33" s="5"/>
      <c r="F33" s="5"/>
      <c r="G33" s="5"/>
      <c r="H33" s="5"/>
      <c r="I33" s="5"/>
      <c r="J33" s="5"/>
    </row>
    <row r="34" customFormat="false" ht="21.75" hidden="false" customHeight="true" outlineLevel="0" collapsed="false">
      <c r="A34" s="6" t="n">
        <v>19</v>
      </c>
      <c r="B34" s="7" t="s">
        <v>72</v>
      </c>
      <c r="C34" s="8" t="s">
        <v>73</v>
      </c>
      <c r="D34" s="6" t="s">
        <v>50</v>
      </c>
      <c r="E34" s="6" t="s">
        <v>58</v>
      </c>
      <c r="F34" s="6" t="n">
        <v>1</v>
      </c>
      <c r="G34" s="9" t="n">
        <v>5</v>
      </c>
      <c r="H34" s="9" t="n">
        <f aca="false">F34*G34</f>
        <v>5</v>
      </c>
      <c r="I34" s="9" t="n">
        <f aca="false">H34*0.18</f>
        <v>0.9</v>
      </c>
      <c r="J34" s="9" t="n">
        <f aca="false">H34+I34</f>
        <v>5.9</v>
      </c>
    </row>
    <row r="35" customFormat="false" ht="21.75" hidden="false" customHeight="true" outlineLevel="0" collapsed="false">
      <c r="A35" s="10" t="n">
        <v>20</v>
      </c>
      <c r="B35" s="11" t="s">
        <v>72</v>
      </c>
      <c r="C35" s="12" t="s">
        <v>74</v>
      </c>
      <c r="D35" s="10" t="s">
        <v>50</v>
      </c>
      <c r="E35" s="10" t="s">
        <v>58</v>
      </c>
      <c r="F35" s="10" t="n">
        <v>1</v>
      </c>
      <c r="G35" s="13" t="n">
        <v>5</v>
      </c>
      <c r="H35" s="13" t="n">
        <f aca="false">F35*G35</f>
        <v>5</v>
      </c>
      <c r="I35" s="13" t="n">
        <f aca="false">H35*0.18</f>
        <v>0.9</v>
      </c>
      <c r="J35" s="13" t="n">
        <f aca="false">H35+I35</f>
        <v>5.9</v>
      </c>
    </row>
    <row r="36" customFormat="false" ht="21.75" hidden="false" customHeight="true" outlineLevel="0" collapsed="false">
      <c r="A36" s="6" t="n">
        <v>21</v>
      </c>
      <c r="B36" s="7" t="s">
        <v>72</v>
      </c>
      <c r="C36" s="8" t="s">
        <v>75</v>
      </c>
      <c r="D36" s="6" t="s">
        <v>50</v>
      </c>
      <c r="E36" s="6" t="s">
        <v>76</v>
      </c>
      <c r="F36" s="6" t="n">
        <v>1</v>
      </c>
      <c r="G36" s="9" t="n">
        <v>12</v>
      </c>
      <c r="H36" s="9" t="n">
        <f aca="false">F36*G36</f>
        <v>12</v>
      </c>
      <c r="I36" s="9" t="n">
        <f aca="false">H36*0.18</f>
        <v>2.16</v>
      </c>
      <c r="J36" s="9" t="n">
        <f aca="false">H36+I36</f>
        <v>14.16</v>
      </c>
    </row>
    <row r="37" customFormat="false" ht="21.75" hidden="false" customHeight="true" outlineLevel="0" collapsed="false">
      <c r="A37" s="10" t="n">
        <v>22</v>
      </c>
      <c r="B37" s="11" t="s">
        <v>72</v>
      </c>
      <c r="C37" s="12" t="s">
        <v>77</v>
      </c>
      <c r="D37" s="10" t="s">
        <v>50</v>
      </c>
      <c r="E37" s="10" t="s">
        <v>76</v>
      </c>
      <c r="F37" s="10" t="n">
        <v>0.2</v>
      </c>
      <c r="G37" s="13" t="n">
        <v>115</v>
      </c>
      <c r="H37" s="13" t="n">
        <f aca="false">F37*G37</f>
        <v>23</v>
      </c>
      <c r="I37" s="13" t="n">
        <f aca="false">H37*0.18</f>
        <v>4.14</v>
      </c>
      <c r="J37" s="13" t="n">
        <f aca="false">H37+I37</f>
        <v>27.14</v>
      </c>
    </row>
    <row r="38" customFormat="false" ht="21.75" hidden="false" customHeight="true" outlineLevel="0" collapsed="false">
      <c r="A38" s="6" t="n">
        <v>23</v>
      </c>
      <c r="B38" s="7" t="s">
        <v>72</v>
      </c>
      <c r="C38" s="8" t="s">
        <v>78</v>
      </c>
      <c r="D38" s="6" t="s">
        <v>50</v>
      </c>
      <c r="E38" s="6" t="s">
        <v>79</v>
      </c>
      <c r="F38" s="6" t="n">
        <v>2</v>
      </c>
      <c r="G38" s="9" t="n">
        <v>1.35</v>
      </c>
      <c r="H38" s="9" t="n">
        <f aca="false">F38*G38</f>
        <v>2.7</v>
      </c>
      <c r="I38" s="9" t="n">
        <f aca="false">H38*0.18</f>
        <v>0.486</v>
      </c>
      <c r="J38" s="9" t="n">
        <f aca="false">H38+I38</f>
        <v>3.186</v>
      </c>
    </row>
    <row r="39" customFormat="false" ht="21.75" hidden="false" customHeight="true" outlineLevel="0" collapsed="false">
      <c r="A39" s="10" t="n">
        <v>24</v>
      </c>
      <c r="B39" s="11" t="s">
        <v>72</v>
      </c>
      <c r="C39" s="12" t="s">
        <v>80</v>
      </c>
      <c r="D39" s="10" t="s">
        <v>50</v>
      </c>
      <c r="E39" s="10" t="s">
        <v>58</v>
      </c>
      <c r="F39" s="10" t="n">
        <v>0.07</v>
      </c>
      <c r="G39" s="13" t="n">
        <v>168</v>
      </c>
      <c r="H39" s="13" t="n">
        <f aca="false">F39*G39</f>
        <v>11.76</v>
      </c>
      <c r="I39" s="13" t="n">
        <f aca="false">H39*0.18</f>
        <v>2.1168</v>
      </c>
      <c r="J39" s="13" t="n">
        <f aca="false">H39+I39</f>
        <v>13.8768</v>
      </c>
    </row>
    <row r="40" customFormat="false" ht="21.75" hidden="false" customHeight="true" outlineLevel="0" collapsed="false">
      <c r="A40" s="6" t="n">
        <v>25</v>
      </c>
      <c r="B40" s="7" t="s">
        <v>72</v>
      </c>
      <c r="C40" s="8" t="s">
        <v>81</v>
      </c>
      <c r="D40" s="6" t="s">
        <v>82</v>
      </c>
      <c r="E40" s="6" t="s">
        <v>83</v>
      </c>
      <c r="F40" s="6" t="n">
        <v>0.1</v>
      </c>
      <c r="G40" s="9" t="n">
        <v>54</v>
      </c>
      <c r="H40" s="9" t="n">
        <f aca="false">F40*G40</f>
        <v>5.4</v>
      </c>
      <c r="I40" s="9" t="n">
        <f aca="false">H40*0.18</f>
        <v>0.972</v>
      </c>
      <c r="J40" s="9" t="n">
        <f aca="false">H40+I40</f>
        <v>6.372</v>
      </c>
    </row>
    <row r="41" customFormat="false" ht="18" hidden="false" customHeight="true" outlineLevel="0" collapsed="false">
      <c r="A41" s="5" t="s">
        <v>84</v>
      </c>
      <c r="B41" s="5"/>
      <c r="C41" s="5"/>
      <c r="D41" s="5"/>
      <c r="E41" s="5"/>
      <c r="F41" s="5"/>
      <c r="G41" s="5"/>
      <c r="H41" s="5"/>
      <c r="I41" s="5"/>
      <c r="J41" s="5"/>
    </row>
    <row r="42" customFormat="false" ht="21.75" hidden="false" customHeight="true" outlineLevel="0" collapsed="false">
      <c r="A42" s="10" t="n">
        <v>26</v>
      </c>
      <c r="B42" s="11" t="s">
        <v>85</v>
      </c>
      <c r="C42" s="12" t="s">
        <v>86</v>
      </c>
      <c r="D42" s="10" t="s">
        <v>87</v>
      </c>
      <c r="E42" s="10" t="s">
        <v>58</v>
      </c>
      <c r="F42" s="10" t="n">
        <v>1</v>
      </c>
      <c r="G42" s="13" t="n">
        <v>1000</v>
      </c>
      <c r="H42" s="13" t="n">
        <f aca="false">F42*G42</f>
        <v>1000</v>
      </c>
      <c r="I42" s="13" t="n">
        <f aca="false">H42*0</f>
        <v>0</v>
      </c>
      <c r="J42" s="13" t="n">
        <f aca="false">H42+I42</f>
        <v>1000</v>
      </c>
    </row>
    <row r="43" customFormat="false" ht="21.75" hidden="false" customHeight="true" outlineLevel="0" collapsed="false">
      <c r="A43" s="6" t="n">
        <v>27</v>
      </c>
      <c r="B43" s="7" t="s">
        <v>88</v>
      </c>
      <c r="C43" s="8" t="s">
        <v>89</v>
      </c>
      <c r="D43" s="6" t="s">
        <v>87</v>
      </c>
      <c r="E43" s="6" t="s">
        <v>58</v>
      </c>
      <c r="F43" s="6" t="n">
        <v>1</v>
      </c>
      <c r="G43" s="9" t="n">
        <v>450</v>
      </c>
      <c r="H43" s="9" t="n">
        <f aca="false">F43*G43</f>
        <v>450</v>
      </c>
      <c r="I43" s="9" t="n">
        <f aca="false">H43*0</f>
        <v>0</v>
      </c>
      <c r="J43" s="9" t="n">
        <f aca="false">H43+I43</f>
        <v>450</v>
      </c>
    </row>
    <row r="45" customFormat="false" ht="21.75" hidden="false" customHeight="true" outlineLevel="0" collapsed="false">
      <c r="A45" s="14" t="s">
        <v>90</v>
      </c>
      <c r="B45" s="14"/>
      <c r="C45" s="14"/>
      <c r="D45" s="14"/>
      <c r="E45" s="14"/>
      <c r="F45" s="14"/>
      <c r="G45" s="14"/>
      <c r="H45" s="15" t="n">
        <f aca="false">H10+H12+H14+H15+H16+H18+H19+H20+H22+H23+H24+H25+H26+H27+H29+H30+H31+H32+H34+H35+H36+H37+H38+H39+H40+H42+H43</f>
        <v>46279.11</v>
      </c>
      <c r="I45" s="15" t="n">
        <f aca="false">I10+I12+I14+I15+I16+I18+I19+I20+I22+I23+I24+I25+I26+I27+I29+I30+I31+I32+I34+I35+I36+I37+I38+I39+I40+I42+I43</f>
        <v>5066.1198</v>
      </c>
      <c r="J45" s="15" t="n">
        <f aca="false">J10+J12+J14+J15+J16+J18+J19+J20+J22+J23+J24+J25+J26+J27+J29+J30+J31+J32+J34+J35+J36+J37+J38+J39+J40+J42+J43</f>
        <v>51345.2298</v>
      </c>
    </row>
    <row r="46" customFormat="false" ht="18" hidden="false" customHeight="true" outlineLevel="0" collapsed="false">
      <c r="A46" s="16" t="s">
        <v>91</v>
      </c>
      <c r="B46" s="16"/>
      <c r="C46" s="16"/>
      <c r="D46" s="16"/>
      <c r="E46" s="16"/>
      <c r="F46" s="16"/>
      <c r="G46" s="16"/>
      <c r="H46" s="17"/>
      <c r="I46" s="17"/>
      <c r="J46" s="17"/>
    </row>
    <row r="48" customFormat="false" ht="39.75" hidden="false" customHeight="true" outlineLevel="0" collapsed="false">
      <c r="A48" s="18" t="s">
        <v>99</v>
      </c>
      <c r="B48" s="18"/>
      <c r="C48" s="18"/>
      <c r="D48" s="18"/>
      <c r="E48" s="18"/>
      <c r="F48" s="18"/>
      <c r="G48" s="18"/>
      <c r="H48" s="18"/>
      <c r="I48" s="18"/>
      <c r="J48" s="18"/>
    </row>
  </sheetData>
  <mergeCells count="32">
    <mergeCell ref="A1:J1"/>
    <mergeCell ref="A2:B2"/>
    <mergeCell ref="C2:E2"/>
    <mergeCell ref="F2:G2"/>
    <mergeCell ref="H2:J2"/>
    <mergeCell ref="A3:B3"/>
    <mergeCell ref="C3:E3"/>
    <mergeCell ref="F3:G3"/>
    <mergeCell ref="H3:J3"/>
    <mergeCell ref="A4:B4"/>
    <mergeCell ref="C4:E4"/>
    <mergeCell ref="F4:G4"/>
    <mergeCell ref="H4:J4"/>
    <mergeCell ref="A5:B5"/>
    <mergeCell ref="C5:E5"/>
    <mergeCell ref="F5:G5"/>
    <mergeCell ref="H5:J5"/>
    <mergeCell ref="A6:B6"/>
    <mergeCell ref="C6:E6"/>
    <mergeCell ref="F6:G6"/>
    <mergeCell ref="H6:J6"/>
    <mergeCell ref="A9:J9"/>
    <mergeCell ref="A11:J11"/>
    <mergeCell ref="A13:J13"/>
    <mergeCell ref="A17:J17"/>
    <mergeCell ref="A21:J21"/>
    <mergeCell ref="A28:J28"/>
    <mergeCell ref="A33:J33"/>
    <mergeCell ref="A41:J41"/>
    <mergeCell ref="A45:G45"/>
    <mergeCell ref="A46:G46"/>
    <mergeCell ref="A48:J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6.5" hidden="false" customHeight="true" outlineLevel="0" collapsed="false">
      <c r="A2" s="2" t="s">
        <v>1</v>
      </c>
      <c r="B2" s="2"/>
      <c r="C2" s="3" t="s">
        <v>2</v>
      </c>
      <c r="D2" s="3"/>
      <c r="E2" s="3"/>
      <c r="F2" s="2" t="s">
        <v>3</v>
      </c>
      <c r="G2" s="2"/>
      <c r="H2" s="3" t="s">
        <v>4</v>
      </c>
      <c r="I2" s="3"/>
      <c r="J2" s="3"/>
    </row>
    <row r="3" customFormat="false" ht="16.5" hidden="false" customHeight="true" outlineLevel="0" collapsed="false">
      <c r="A3" s="2" t="s">
        <v>5</v>
      </c>
      <c r="B3" s="2"/>
      <c r="C3" s="3" t="s">
        <v>6</v>
      </c>
      <c r="D3" s="3"/>
      <c r="E3" s="3"/>
      <c r="F3" s="2" t="s">
        <v>7</v>
      </c>
      <c r="G3" s="2"/>
      <c r="H3" s="3" t="s">
        <v>8</v>
      </c>
      <c r="I3" s="3"/>
      <c r="J3" s="3"/>
    </row>
    <row r="4" customFormat="false" ht="16.5" hidden="false" customHeight="true" outlineLevel="0" collapsed="false">
      <c r="A4" s="2" t="s">
        <v>9</v>
      </c>
      <c r="B4" s="2"/>
      <c r="C4" s="3" t="s">
        <v>100</v>
      </c>
      <c r="D4" s="3"/>
      <c r="E4" s="3"/>
      <c r="F4" s="2" t="s">
        <v>11</v>
      </c>
      <c r="G4" s="2"/>
      <c r="H4" s="3" t="s">
        <v>101</v>
      </c>
      <c r="I4" s="3"/>
      <c r="J4" s="3"/>
    </row>
    <row r="5" customFormat="false" ht="16.5" hidden="false" customHeight="true" outlineLevel="0" collapsed="false">
      <c r="A5" s="2" t="s">
        <v>13</v>
      </c>
      <c r="B5" s="2"/>
      <c r="C5" s="3" t="s">
        <v>102</v>
      </c>
      <c r="D5" s="3"/>
      <c r="E5" s="3"/>
      <c r="F5" s="2" t="s">
        <v>15</v>
      </c>
      <c r="G5" s="2"/>
      <c r="H5" s="3" t="s">
        <v>103</v>
      </c>
      <c r="I5" s="3"/>
      <c r="J5" s="3"/>
    </row>
    <row r="6" customFormat="false" ht="16.5" hidden="false" customHeight="true" outlineLevel="0" collapsed="false">
      <c r="A6" s="2" t="s">
        <v>17</v>
      </c>
      <c r="B6" s="2"/>
      <c r="C6" s="3" t="s">
        <v>18</v>
      </c>
      <c r="D6" s="3"/>
      <c r="E6" s="3"/>
      <c r="F6" s="2" t="s">
        <v>19</v>
      </c>
      <c r="G6" s="2"/>
      <c r="H6" s="3" t="s">
        <v>20</v>
      </c>
      <c r="I6" s="3"/>
      <c r="J6" s="3"/>
    </row>
    <row r="8" customFormat="false" ht="27.75" hidden="false" customHeight="true" outlineLevel="0" collapsed="false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27</v>
      </c>
      <c r="H8" s="4" t="s">
        <v>28</v>
      </c>
      <c r="I8" s="4" t="s">
        <v>29</v>
      </c>
      <c r="J8" s="4" t="s">
        <v>30</v>
      </c>
    </row>
    <row r="9" customFormat="false" ht="18" hidden="false" customHeight="true" outlineLevel="0" collapsed="false">
      <c r="A9" s="5" t="s">
        <v>31</v>
      </c>
      <c r="B9" s="5"/>
      <c r="C9" s="5"/>
      <c r="D9" s="5"/>
      <c r="E9" s="5"/>
      <c r="F9" s="5"/>
      <c r="G9" s="5"/>
      <c r="H9" s="5"/>
      <c r="I9" s="5"/>
      <c r="J9" s="5"/>
    </row>
    <row r="10" customFormat="false" ht="21.75" hidden="false" customHeight="true" outlineLevel="0" collapsed="false">
      <c r="A10" s="6" t="n">
        <v>1</v>
      </c>
      <c r="B10" s="7" t="s">
        <v>32</v>
      </c>
      <c r="C10" s="8" t="s">
        <v>102</v>
      </c>
      <c r="D10" s="6" t="s">
        <v>101</v>
      </c>
      <c r="E10" s="6" t="s">
        <v>33</v>
      </c>
      <c r="F10" s="6" t="n">
        <v>480</v>
      </c>
      <c r="G10" s="9" t="n">
        <v>12</v>
      </c>
      <c r="H10" s="9" t="n">
        <f aca="false">F10*G10</f>
        <v>5760</v>
      </c>
      <c r="I10" s="9" t="n">
        <f aca="false">H10*0.05</f>
        <v>288</v>
      </c>
      <c r="J10" s="9" t="n">
        <f aca="false">H10+I10</f>
        <v>6048</v>
      </c>
    </row>
    <row r="11" customFormat="false" ht="18" hidden="false" customHeight="true" outlineLevel="0" collapsed="false">
      <c r="A11" s="5" t="s">
        <v>34</v>
      </c>
      <c r="B11" s="5"/>
      <c r="C11" s="5"/>
      <c r="D11" s="5"/>
      <c r="E11" s="5"/>
      <c r="F11" s="5"/>
      <c r="G11" s="5"/>
      <c r="H11" s="5"/>
      <c r="I11" s="5"/>
      <c r="J11" s="5"/>
    </row>
    <row r="12" customFormat="false" ht="21.75" hidden="false" customHeight="true" outlineLevel="0" collapsed="false">
      <c r="A12" s="10" t="n">
        <v>2</v>
      </c>
      <c r="B12" s="11" t="s">
        <v>35</v>
      </c>
      <c r="C12" s="12" t="s">
        <v>104</v>
      </c>
      <c r="D12" s="10" t="s">
        <v>105</v>
      </c>
      <c r="E12" s="10" t="s">
        <v>37</v>
      </c>
      <c r="F12" s="10" t="n">
        <v>2</v>
      </c>
      <c r="G12" s="13" t="n">
        <v>55</v>
      </c>
      <c r="H12" s="13" t="n">
        <f aca="false">F12*G12</f>
        <v>110</v>
      </c>
      <c r="I12" s="13" t="n">
        <f aca="false">H12*0.12</f>
        <v>13.2</v>
      </c>
      <c r="J12" s="13" t="n">
        <f aca="false">H12+I12</f>
        <v>123.2</v>
      </c>
    </row>
    <row r="13" customFormat="false" ht="21.75" hidden="false" customHeight="true" outlineLevel="0" collapsed="false">
      <c r="A13" s="6" t="n">
        <v>3</v>
      </c>
      <c r="B13" s="7" t="s">
        <v>35</v>
      </c>
      <c r="C13" s="8" t="s">
        <v>106</v>
      </c>
      <c r="D13" s="6" t="s">
        <v>105</v>
      </c>
      <c r="E13" s="6" t="s">
        <v>37</v>
      </c>
      <c r="F13" s="6" t="n">
        <v>0.5</v>
      </c>
      <c r="G13" s="9" t="n">
        <v>55</v>
      </c>
      <c r="H13" s="9" t="n">
        <f aca="false">F13*G13</f>
        <v>27.5</v>
      </c>
      <c r="I13" s="9" t="n">
        <f aca="false">H13*0.12</f>
        <v>3.3</v>
      </c>
      <c r="J13" s="9" t="n">
        <f aca="false">H13+I13</f>
        <v>30.8</v>
      </c>
    </row>
    <row r="14" customFormat="false" ht="18" hidden="false" customHeight="true" outlineLevel="0" collapsed="false">
      <c r="A14" s="5" t="s">
        <v>38</v>
      </c>
      <c r="B14" s="5"/>
      <c r="C14" s="5"/>
      <c r="D14" s="5"/>
      <c r="E14" s="5"/>
      <c r="F14" s="5"/>
      <c r="G14" s="5"/>
      <c r="H14" s="5"/>
      <c r="I14" s="5"/>
      <c r="J14" s="5"/>
    </row>
    <row r="15" customFormat="false" ht="21.75" hidden="false" customHeight="true" outlineLevel="0" collapsed="false">
      <c r="A15" s="10" t="n">
        <v>4</v>
      </c>
      <c r="B15" s="11" t="s">
        <v>39</v>
      </c>
      <c r="C15" s="12" t="s">
        <v>40</v>
      </c>
      <c r="D15" s="10" t="s">
        <v>41</v>
      </c>
      <c r="E15" s="10" t="s">
        <v>42</v>
      </c>
      <c r="F15" s="10" t="n">
        <v>100</v>
      </c>
      <c r="G15" s="13" t="n">
        <v>61</v>
      </c>
      <c r="H15" s="13" t="n">
        <f aca="false">F15*G15</f>
        <v>6100</v>
      </c>
      <c r="I15" s="13" t="n">
        <f aca="false">H15*0.12</f>
        <v>732</v>
      </c>
      <c r="J15" s="13" t="n">
        <f aca="false">H15+I15</f>
        <v>6832</v>
      </c>
    </row>
    <row r="16" customFormat="false" ht="21.75" hidden="false" customHeight="true" outlineLevel="0" collapsed="false">
      <c r="A16" s="6" t="n">
        <v>5</v>
      </c>
      <c r="B16" s="7" t="s">
        <v>39</v>
      </c>
      <c r="C16" s="8" t="s">
        <v>43</v>
      </c>
      <c r="D16" s="6" t="s">
        <v>41</v>
      </c>
      <c r="E16" s="6" t="s">
        <v>42</v>
      </c>
      <c r="F16" s="6" t="n">
        <v>100</v>
      </c>
      <c r="G16" s="9" t="n">
        <v>257</v>
      </c>
      <c r="H16" s="9" t="n">
        <f aca="false">F16*G16</f>
        <v>25700</v>
      </c>
      <c r="I16" s="9" t="n">
        <f aca="false">H16*0.12</f>
        <v>3084</v>
      </c>
      <c r="J16" s="9" t="n">
        <f aca="false">H16+I16</f>
        <v>28784</v>
      </c>
    </row>
    <row r="17" customFormat="false" ht="21.75" hidden="false" customHeight="true" outlineLevel="0" collapsed="false">
      <c r="A17" s="10" t="n">
        <v>6</v>
      </c>
      <c r="B17" s="11" t="s">
        <v>39</v>
      </c>
      <c r="C17" s="12" t="s">
        <v>44</v>
      </c>
      <c r="D17" s="10" t="s">
        <v>41</v>
      </c>
      <c r="E17" s="10" t="s">
        <v>42</v>
      </c>
      <c r="F17" s="10" t="n">
        <v>50</v>
      </c>
      <c r="G17" s="13" t="n">
        <v>162</v>
      </c>
      <c r="H17" s="13" t="n">
        <f aca="false">F17*G17</f>
        <v>8100</v>
      </c>
      <c r="I17" s="13" t="n">
        <f aca="false">H17*0.12</f>
        <v>972</v>
      </c>
      <c r="J17" s="13" t="n">
        <f aca="false">H17+I17</f>
        <v>9072</v>
      </c>
    </row>
    <row r="18" customFormat="false" ht="18" hidden="false" customHeight="true" outlineLevel="0" collapsed="false">
      <c r="A18" s="5" t="s">
        <v>45</v>
      </c>
      <c r="B18" s="5"/>
      <c r="C18" s="5"/>
      <c r="D18" s="5"/>
      <c r="E18" s="5"/>
      <c r="F18" s="5"/>
      <c r="G18" s="5"/>
      <c r="H18" s="5"/>
      <c r="I18" s="5"/>
      <c r="J18" s="5"/>
    </row>
    <row r="19" customFormat="false" ht="21.75" hidden="false" customHeight="true" outlineLevel="0" collapsed="false">
      <c r="A19" s="6" t="n">
        <v>7</v>
      </c>
      <c r="B19" s="7" t="s">
        <v>46</v>
      </c>
      <c r="C19" s="8" t="s">
        <v>46</v>
      </c>
      <c r="D19" s="6" t="s">
        <v>47</v>
      </c>
      <c r="E19" s="6" t="s">
        <v>48</v>
      </c>
      <c r="F19" s="6" t="n">
        <v>0.5</v>
      </c>
      <c r="G19" s="9" t="n">
        <v>18</v>
      </c>
      <c r="H19" s="9" t="n">
        <f aca="false">F19*G19</f>
        <v>9</v>
      </c>
      <c r="I19" s="9" t="n">
        <f aca="false">H19*0.18</f>
        <v>1.62</v>
      </c>
      <c r="J19" s="9" t="n">
        <f aca="false">H19+I19</f>
        <v>10.62</v>
      </c>
    </row>
    <row r="20" customFormat="false" ht="21.75" hidden="false" customHeight="true" outlineLevel="0" collapsed="false">
      <c r="A20" s="10" t="n">
        <v>8</v>
      </c>
      <c r="B20" s="11" t="s">
        <v>46</v>
      </c>
      <c r="C20" s="12" t="s">
        <v>49</v>
      </c>
      <c r="D20" s="10" t="s">
        <v>50</v>
      </c>
      <c r="E20" s="10" t="s">
        <v>51</v>
      </c>
      <c r="F20" s="10" t="n">
        <v>0.15</v>
      </c>
      <c r="G20" s="13" t="n">
        <v>95</v>
      </c>
      <c r="H20" s="13" t="n">
        <f aca="false">F20*G20</f>
        <v>14.25</v>
      </c>
      <c r="I20" s="13" t="n">
        <f aca="false">H20*0.18</f>
        <v>2.565</v>
      </c>
      <c r="J20" s="13" t="n">
        <f aca="false">H20+I20</f>
        <v>16.815</v>
      </c>
    </row>
    <row r="21" customFormat="false" ht="21.75" hidden="false" customHeight="true" outlineLevel="0" collapsed="false">
      <c r="A21" s="6" t="n">
        <v>9</v>
      </c>
      <c r="B21" s="7" t="s">
        <v>46</v>
      </c>
      <c r="C21" s="8" t="s">
        <v>52</v>
      </c>
      <c r="D21" s="6" t="s">
        <v>53</v>
      </c>
      <c r="E21" s="6" t="s">
        <v>48</v>
      </c>
      <c r="F21" s="6" t="n">
        <v>3.75</v>
      </c>
      <c r="G21" s="9" t="n">
        <v>8</v>
      </c>
      <c r="H21" s="9" t="n">
        <f aca="false">F21*G21</f>
        <v>30</v>
      </c>
      <c r="I21" s="9" t="n">
        <f aca="false">H21*0.18</f>
        <v>5.4</v>
      </c>
      <c r="J21" s="9" t="n">
        <f aca="false">H21+I21</f>
        <v>35.4</v>
      </c>
    </row>
    <row r="22" customFormat="false" ht="18" hidden="false" customHeight="true" outlineLevel="0" collapsed="false">
      <c r="A22" s="5" t="s">
        <v>54</v>
      </c>
      <c r="B22" s="5"/>
      <c r="C22" s="5"/>
      <c r="D22" s="5"/>
      <c r="E22" s="5"/>
      <c r="F22" s="5"/>
      <c r="G22" s="5"/>
      <c r="H22" s="5"/>
      <c r="I22" s="5"/>
      <c r="J22" s="5"/>
    </row>
    <row r="23" customFormat="false" ht="21.75" hidden="false" customHeight="true" outlineLevel="0" collapsed="false">
      <c r="A23" s="10" t="n">
        <v>10</v>
      </c>
      <c r="B23" s="11" t="s">
        <v>55</v>
      </c>
      <c r="C23" s="12" t="s">
        <v>107</v>
      </c>
      <c r="D23" s="10" t="s">
        <v>41</v>
      </c>
      <c r="E23" s="10" t="s">
        <v>58</v>
      </c>
      <c r="F23" s="10" t="n">
        <v>2</v>
      </c>
      <c r="G23" s="13" t="n">
        <v>15</v>
      </c>
      <c r="H23" s="13" t="n">
        <f aca="false">F23*G23</f>
        <v>30</v>
      </c>
      <c r="I23" s="13" t="n">
        <f aca="false">H23*0.12</f>
        <v>3.6</v>
      </c>
      <c r="J23" s="13" t="n">
        <f aca="false">H23+I23</f>
        <v>33.6</v>
      </c>
    </row>
    <row r="24" customFormat="false" ht="21.75" hidden="false" customHeight="true" outlineLevel="0" collapsed="false">
      <c r="A24" s="6" t="n">
        <v>11</v>
      </c>
      <c r="B24" s="7" t="s">
        <v>55</v>
      </c>
      <c r="C24" s="8" t="s">
        <v>108</v>
      </c>
      <c r="D24" s="6" t="s">
        <v>41</v>
      </c>
      <c r="E24" s="6" t="s">
        <v>58</v>
      </c>
      <c r="F24" s="6" t="n">
        <v>2</v>
      </c>
      <c r="G24" s="9" t="n">
        <v>2.5</v>
      </c>
      <c r="H24" s="9" t="n">
        <f aca="false">F24*G24</f>
        <v>5</v>
      </c>
      <c r="I24" s="9" t="n">
        <f aca="false">H24*0.12</f>
        <v>0.6</v>
      </c>
      <c r="J24" s="9" t="n">
        <f aca="false">H24+I24</f>
        <v>5.6</v>
      </c>
    </row>
    <row r="25" customFormat="false" ht="21.75" hidden="false" customHeight="true" outlineLevel="0" collapsed="false">
      <c r="A25" s="10" t="n">
        <v>12</v>
      </c>
      <c r="B25" s="11" t="s">
        <v>55</v>
      </c>
      <c r="C25" s="12" t="s">
        <v>109</v>
      </c>
      <c r="D25" s="10" t="s">
        <v>41</v>
      </c>
      <c r="E25" s="10" t="s">
        <v>58</v>
      </c>
      <c r="F25" s="10" t="n">
        <v>1</v>
      </c>
      <c r="G25" s="13" t="n">
        <v>30</v>
      </c>
      <c r="H25" s="13" t="n">
        <f aca="false">F25*G25</f>
        <v>30</v>
      </c>
      <c r="I25" s="13" t="n">
        <f aca="false">H25*0.12</f>
        <v>3.6</v>
      </c>
      <c r="J25" s="13" t="n">
        <f aca="false">H25+I25</f>
        <v>33.6</v>
      </c>
    </row>
    <row r="26" customFormat="false" ht="21.75" hidden="false" customHeight="true" outlineLevel="0" collapsed="false">
      <c r="A26" s="6" t="n">
        <v>13</v>
      </c>
      <c r="B26" s="7" t="s">
        <v>55</v>
      </c>
      <c r="C26" s="8" t="s">
        <v>61</v>
      </c>
      <c r="D26" s="6" t="s">
        <v>50</v>
      </c>
      <c r="E26" s="6" t="s">
        <v>58</v>
      </c>
      <c r="F26" s="6" t="n">
        <v>1</v>
      </c>
      <c r="G26" s="9" t="n">
        <v>2</v>
      </c>
      <c r="H26" s="9" t="n">
        <f aca="false">F26*G26</f>
        <v>2</v>
      </c>
      <c r="I26" s="9" t="n">
        <f aca="false">H26*0.12</f>
        <v>0.24</v>
      </c>
      <c r="J26" s="9" t="n">
        <f aca="false">H26+I26</f>
        <v>2.24</v>
      </c>
    </row>
    <row r="27" customFormat="false" ht="21.75" hidden="false" customHeight="true" outlineLevel="0" collapsed="false">
      <c r="A27" s="10" t="n">
        <v>14</v>
      </c>
      <c r="B27" s="11" t="s">
        <v>55</v>
      </c>
      <c r="C27" s="12" t="s">
        <v>62</v>
      </c>
      <c r="D27" s="10" t="s">
        <v>50</v>
      </c>
      <c r="E27" s="10" t="s">
        <v>58</v>
      </c>
      <c r="F27" s="10" t="n">
        <v>1</v>
      </c>
      <c r="G27" s="13" t="n">
        <v>1</v>
      </c>
      <c r="H27" s="13" t="n">
        <f aca="false">F27*G27</f>
        <v>1</v>
      </c>
      <c r="I27" s="13" t="n">
        <f aca="false">H27*0.12</f>
        <v>0.12</v>
      </c>
      <c r="J27" s="13" t="n">
        <f aca="false">H27+I27</f>
        <v>1.12</v>
      </c>
    </row>
    <row r="28" customFormat="false" ht="18" hidden="false" customHeight="true" outlineLevel="0" collapsed="false">
      <c r="A28" s="5" t="s">
        <v>65</v>
      </c>
      <c r="B28" s="5"/>
      <c r="C28" s="5"/>
      <c r="D28" s="5"/>
      <c r="E28" s="5"/>
      <c r="F28" s="5"/>
      <c r="G28" s="5"/>
      <c r="H28" s="5"/>
      <c r="I28" s="5"/>
      <c r="J28" s="5"/>
    </row>
    <row r="29" customFormat="false" ht="21.75" hidden="false" customHeight="true" outlineLevel="0" collapsed="false">
      <c r="A29" s="6" t="n">
        <v>15</v>
      </c>
      <c r="B29" s="7" t="s">
        <v>66</v>
      </c>
      <c r="C29" s="8" t="s">
        <v>110</v>
      </c>
      <c r="D29" s="6" t="s">
        <v>50</v>
      </c>
      <c r="E29" s="6" t="s">
        <v>58</v>
      </c>
      <c r="F29" s="6" t="n">
        <v>1</v>
      </c>
      <c r="G29" s="9" t="n">
        <v>30</v>
      </c>
      <c r="H29" s="9" t="n">
        <f aca="false">F29*G29</f>
        <v>30</v>
      </c>
      <c r="I29" s="9" t="n">
        <f aca="false">H29*0.12</f>
        <v>3.6</v>
      </c>
      <c r="J29" s="9" t="n">
        <f aca="false">H29+I29</f>
        <v>33.6</v>
      </c>
    </row>
    <row r="30" customFormat="false" ht="21.75" hidden="false" customHeight="true" outlineLevel="0" collapsed="false">
      <c r="A30" s="10" t="n">
        <v>16</v>
      </c>
      <c r="B30" s="11" t="s">
        <v>66</v>
      </c>
      <c r="C30" s="12" t="s">
        <v>68</v>
      </c>
      <c r="D30" s="10" t="s">
        <v>50</v>
      </c>
      <c r="E30" s="10" t="s">
        <v>58</v>
      </c>
      <c r="F30" s="10" t="n">
        <v>1</v>
      </c>
      <c r="G30" s="13" t="n">
        <v>0</v>
      </c>
      <c r="H30" s="13" t="n">
        <f aca="false">F30*G30</f>
        <v>0</v>
      </c>
      <c r="I30" s="13" t="n">
        <f aca="false">H30*0.12</f>
        <v>0</v>
      </c>
      <c r="J30" s="13" t="n">
        <f aca="false">H30+I30</f>
        <v>0</v>
      </c>
    </row>
    <row r="31" customFormat="false" ht="21.75" hidden="false" customHeight="true" outlineLevel="0" collapsed="false">
      <c r="A31" s="6" t="n">
        <v>17</v>
      </c>
      <c r="B31" s="7" t="s">
        <v>66</v>
      </c>
      <c r="C31" s="8" t="s">
        <v>69</v>
      </c>
      <c r="D31" s="6" t="s">
        <v>50</v>
      </c>
      <c r="E31" s="6" t="s">
        <v>58</v>
      </c>
      <c r="F31" s="6" t="n">
        <v>1</v>
      </c>
      <c r="G31" s="9" t="n">
        <v>3.5</v>
      </c>
      <c r="H31" s="9" t="n">
        <f aca="false">F31*G31</f>
        <v>3.5</v>
      </c>
      <c r="I31" s="9" t="n">
        <f aca="false">H31*0.12</f>
        <v>0.42</v>
      </c>
      <c r="J31" s="9" t="n">
        <f aca="false">H31+I31</f>
        <v>3.92</v>
      </c>
    </row>
    <row r="32" customFormat="false" ht="21.75" hidden="false" customHeight="true" outlineLevel="0" collapsed="false">
      <c r="A32" s="10" t="n">
        <v>18</v>
      </c>
      <c r="B32" s="11" t="s">
        <v>66</v>
      </c>
      <c r="C32" s="12" t="s">
        <v>70</v>
      </c>
      <c r="D32" s="10" t="s">
        <v>50</v>
      </c>
      <c r="E32" s="10" t="s">
        <v>58</v>
      </c>
      <c r="F32" s="10" t="n">
        <v>1</v>
      </c>
      <c r="G32" s="13" t="n">
        <v>3.5</v>
      </c>
      <c r="H32" s="13" t="n">
        <f aca="false">F32*G32</f>
        <v>3.5</v>
      </c>
      <c r="I32" s="13" t="n">
        <f aca="false">H32*0.12</f>
        <v>0.42</v>
      </c>
      <c r="J32" s="13" t="n">
        <f aca="false">H32+I32</f>
        <v>3.92</v>
      </c>
    </row>
    <row r="33" customFormat="false" ht="18" hidden="false" customHeight="true" outlineLevel="0" collapsed="false">
      <c r="A33" s="5" t="s">
        <v>71</v>
      </c>
      <c r="B33" s="5"/>
      <c r="C33" s="5"/>
      <c r="D33" s="5"/>
      <c r="E33" s="5"/>
      <c r="F33" s="5"/>
      <c r="G33" s="5"/>
      <c r="H33" s="5"/>
      <c r="I33" s="5"/>
      <c r="J33" s="5"/>
    </row>
    <row r="34" customFormat="false" ht="21.75" hidden="false" customHeight="true" outlineLevel="0" collapsed="false">
      <c r="A34" s="6" t="n">
        <v>19</v>
      </c>
      <c r="B34" s="7" t="s">
        <v>72</v>
      </c>
      <c r="C34" s="8" t="s">
        <v>73</v>
      </c>
      <c r="D34" s="6" t="s">
        <v>50</v>
      </c>
      <c r="E34" s="6" t="s">
        <v>58</v>
      </c>
      <c r="F34" s="6" t="n">
        <v>1</v>
      </c>
      <c r="G34" s="9" t="n">
        <v>5</v>
      </c>
      <c r="H34" s="9" t="n">
        <f aca="false">F34*G34</f>
        <v>5</v>
      </c>
      <c r="I34" s="9" t="n">
        <f aca="false">H34*0.18</f>
        <v>0.9</v>
      </c>
      <c r="J34" s="9" t="n">
        <f aca="false">H34+I34</f>
        <v>5.9</v>
      </c>
    </row>
    <row r="35" customFormat="false" ht="21.75" hidden="false" customHeight="true" outlineLevel="0" collapsed="false">
      <c r="A35" s="10" t="n">
        <v>20</v>
      </c>
      <c r="B35" s="11" t="s">
        <v>72</v>
      </c>
      <c r="C35" s="12" t="s">
        <v>74</v>
      </c>
      <c r="D35" s="10" t="s">
        <v>50</v>
      </c>
      <c r="E35" s="10" t="s">
        <v>58</v>
      </c>
      <c r="F35" s="10" t="n">
        <v>1</v>
      </c>
      <c r="G35" s="13" t="n">
        <v>5</v>
      </c>
      <c r="H35" s="13" t="n">
        <f aca="false">F35*G35</f>
        <v>5</v>
      </c>
      <c r="I35" s="13" t="n">
        <f aca="false">H35*0.18</f>
        <v>0.9</v>
      </c>
      <c r="J35" s="13" t="n">
        <f aca="false">H35+I35</f>
        <v>5.9</v>
      </c>
    </row>
    <row r="36" customFormat="false" ht="21.75" hidden="false" customHeight="true" outlineLevel="0" collapsed="false">
      <c r="A36" s="6" t="n">
        <v>21</v>
      </c>
      <c r="B36" s="7" t="s">
        <v>72</v>
      </c>
      <c r="C36" s="8" t="s">
        <v>75</v>
      </c>
      <c r="D36" s="6" t="s">
        <v>50</v>
      </c>
      <c r="E36" s="6" t="s">
        <v>76</v>
      </c>
      <c r="F36" s="6" t="n">
        <v>1</v>
      </c>
      <c r="G36" s="9" t="n">
        <v>12</v>
      </c>
      <c r="H36" s="9" t="n">
        <f aca="false">F36*G36</f>
        <v>12</v>
      </c>
      <c r="I36" s="9" t="n">
        <f aca="false">H36*0.18</f>
        <v>2.16</v>
      </c>
      <c r="J36" s="9" t="n">
        <f aca="false">H36+I36</f>
        <v>14.16</v>
      </c>
    </row>
    <row r="37" customFormat="false" ht="21.75" hidden="false" customHeight="true" outlineLevel="0" collapsed="false">
      <c r="A37" s="10" t="n">
        <v>22</v>
      </c>
      <c r="B37" s="11" t="s">
        <v>72</v>
      </c>
      <c r="C37" s="12" t="s">
        <v>77</v>
      </c>
      <c r="D37" s="10" t="s">
        <v>50</v>
      </c>
      <c r="E37" s="10" t="s">
        <v>76</v>
      </c>
      <c r="F37" s="10" t="n">
        <v>0.2</v>
      </c>
      <c r="G37" s="13" t="n">
        <v>115</v>
      </c>
      <c r="H37" s="13" t="n">
        <f aca="false">F37*G37</f>
        <v>23</v>
      </c>
      <c r="I37" s="13" t="n">
        <f aca="false">H37*0.18</f>
        <v>4.14</v>
      </c>
      <c r="J37" s="13" t="n">
        <f aca="false">H37+I37</f>
        <v>27.14</v>
      </c>
    </row>
    <row r="38" customFormat="false" ht="21.75" hidden="false" customHeight="true" outlineLevel="0" collapsed="false">
      <c r="A38" s="6" t="n">
        <v>23</v>
      </c>
      <c r="B38" s="7" t="s">
        <v>72</v>
      </c>
      <c r="C38" s="8" t="s">
        <v>78</v>
      </c>
      <c r="D38" s="6" t="s">
        <v>50</v>
      </c>
      <c r="E38" s="6" t="s">
        <v>79</v>
      </c>
      <c r="F38" s="6" t="n">
        <v>2</v>
      </c>
      <c r="G38" s="9" t="n">
        <v>1.35</v>
      </c>
      <c r="H38" s="9" t="n">
        <f aca="false">F38*G38</f>
        <v>2.7</v>
      </c>
      <c r="I38" s="9" t="n">
        <f aca="false">H38*0.18</f>
        <v>0.486</v>
      </c>
      <c r="J38" s="9" t="n">
        <f aca="false">H38+I38</f>
        <v>3.186</v>
      </c>
    </row>
    <row r="39" customFormat="false" ht="21.75" hidden="false" customHeight="true" outlineLevel="0" collapsed="false">
      <c r="A39" s="10" t="n">
        <v>24</v>
      </c>
      <c r="B39" s="11" t="s">
        <v>72</v>
      </c>
      <c r="C39" s="12" t="s">
        <v>80</v>
      </c>
      <c r="D39" s="10" t="s">
        <v>50</v>
      </c>
      <c r="E39" s="10" t="s">
        <v>58</v>
      </c>
      <c r="F39" s="10" t="n">
        <v>0.07</v>
      </c>
      <c r="G39" s="13" t="n">
        <v>168</v>
      </c>
      <c r="H39" s="13" t="n">
        <f aca="false">F39*G39</f>
        <v>11.76</v>
      </c>
      <c r="I39" s="13" t="n">
        <f aca="false">H39*0.18</f>
        <v>2.1168</v>
      </c>
      <c r="J39" s="13" t="n">
        <f aca="false">H39+I39</f>
        <v>13.8768</v>
      </c>
    </row>
    <row r="40" customFormat="false" ht="21.75" hidden="false" customHeight="true" outlineLevel="0" collapsed="false">
      <c r="A40" s="6" t="n">
        <v>25</v>
      </c>
      <c r="B40" s="7" t="s">
        <v>72</v>
      </c>
      <c r="C40" s="8" t="s">
        <v>81</v>
      </c>
      <c r="D40" s="6" t="s">
        <v>82</v>
      </c>
      <c r="E40" s="6" t="s">
        <v>83</v>
      </c>
      <c r="F40" s="6" t="n">
        <v>0.1</v>
      </c>
      <c r="G40" s="9" t="n">
        <v>54</v>
      </c>
      <c r="H40" s="9" t="n">
        <f aca="false">F40*G40</f>
        <v>5.4</v>
      </c>
      <c r="I40" s="9" t="n">
        <f aca="false">H40*0.18</f>
        <v>0.972</v>
      </c>
      <c r="J40" s="9" t="n">
        <f aca="false">H40+I40</f>
        <v>6.372</v>
      </c>
    </row>
    <row r="41" customFormat="false" ht="18" hidden="false" customHeight="true" outlineLevel="0" collapsed="false">
      <c r="A41" s="5" t="s">
        <v>84</v>
      </c>
      <c r="B41" s="5"/>
      <c r="C41" s="5"/>
      <c r="D41" s="5"/>
      <c r="E41" s="5"/>
      <c r="F41" s="5"/>
      <c r="G41" s="5"/>
      <c r="H41" s="5"/>
      <c r="I41" s="5"/>
      <c r="J41" s="5"/>
    </row>
    <row r="42" customFormat="false" ht="21.75" hidden="false" customHeight="true" outlineLevel="0" collapsed="false">
      <c r="A42" s="10" t="n">
        <v>26</v>
      </c>
      <c r="B42" s="11" t="s">
        <v>85</v>
      </c>
      <c r="C42" s="12" t="s">
        <v>86</v>
      </c>
      <c r="D42" s="10" t="s">
        <v>87</v>
      </c>
      <c r="E42" s="10" t="s">
        <v>58</v>
      </c>
      <c r="F42" s="10" t="n">
        <v>1</v>
      </c>
      <c r="G42" s="13" t="n">
        <v>1200</v>
      </c>
      <c r="H42" s="13" t="n">
        <f aca="false">F42*G42</f>
        <v>1200</v>
      </c>
      <c r="I42" s="13" t="n">
        <f aca="false">H42*0</f>
        <v>0</v>
      </c>
      <c r="J42" s="13" t="n">
        <f aca="false">H42+I42</f>
        <v>1200</v>
      </c>
    </row>
    <row r="43" customFormat="false" ht="21.75" hidden="false" customHeight="true" outlineLevel="0" collapsed="false">
      <c r="A43" s="6" t="n">
        <v>27</v>
      </c>
      <c r="B43" s="7" t="s">
        <v>88</v>
      </c>
      <c r="C43" s="8" t="s">
        <v>89</v>
      </c>
      <c r="D43" s="6" t="s">
        <v>87</v>
      </c>
      <c r="E43" s="6" t="s">
        <v>58</v>
      </c>
      <c r="F43" s="6" t="n">
        <v>1</v>
      </c>
      <c r="G43" s="9" t="n">
        <v>450</v>
      </c>
      <c r="H43" s="9" t="n">
        <f aca="false">F43*G43</f>
        <v>450</v>
      </c>
      <c r="I43" s="9" t="n">
        <f aca="false">H43*0</f>
        <v>0</v>
      </c>
      <c r="J43" s="9" t="n">
        <f aca="false">H43+I43</f>
        <v>450</v>
      </c>
    </row>
    <row r="45" customFormat="false" ht="21.75" hidden="false" customHeight="true" outlineLevel="0" collapsed="false">
      <c r="A45" s="14" t="s">
        <v>90</v>
      </c>
      <c r="B45" s="14"/>
      <c r="C45" s="14"/>
      <c r="D45" s="14"/>
      <c r="E45" s="14"/>
      <c r="F45" s="14"/>
      <c r="G45" s="14"/>
      <c r="H45" s="15" t="n">
        <f aca="false">H10+H12+H13+H15+H16+H17+H19+H20+H21+H23+H24+H25+H26+H27+H29+H30+H31+H32+H34+H35+H36+H37+H38+H39+H40+H42+H43</f>
        <v>47670.61</v>
      </c>
      <c r="I45" s="15" t="n">
        <f aca="false">I10+I12+I13+I15+I16+I17+I19+I20+I21+I23+I24+I25+I26+I27+I29+I30+I31+I32+I34+I35+I36+I37+I38+I39+I40+I42+I43</f>
        <v>5126.3598</v>
      </c>
      <c r="J45" s="15" t="n">
        <f aca="false">J10+J12+J13+J15+J16+J17+J19+J20+J21+J23+J24+J25+J26+J27+J29+J30+J31+J32+J34+J35+J36+J37+J38+J39+J40+J42+J43</f>
        <v>52796.9698</v>
      </c>
    </row>
    <row r="46" customFormat="false" ht="18" hidden="false" customHeight="true" outlineLevel="0" collapsed="false">
      <c r="A46" s="16" t="s">
        <v>91</v>
      </c>
      <c r="B46" s="16"/>
      <c r="C46" s="16"/>
      <c r="D46" s="16"/>
      <c r="E46" s="16"/>
      <c r="F46" s="16"/>
      <c r="G46" s="16"/>
      <c r="H46" s="17"/>
      <c r="I46" s="17"/>
      <c r="J46" s="17"/>
    </row>
    <row r="48" customFormat="false" ht="39.75" hidden="false" customHeight="true" outlineLevel="0" collapsed="false">
      <c r="A48" s="18" t="s">
        <v>111</v>
      </c>
      <c r="B48" s="18"/>
      <c r="C48" s="18"/>
      <c r="D48" s="18"/>
      <c r="E48" s="18"/>
      <c r="F48" s="18"/>
      <c r="G48" s="18"/>
      <c r="H48" s="18"/>
      <c r="I48" s="18"/>
      <c r="J48" s="18"/>
    </row>
  </sheetData>
  <mergeCells count="32">
    <mergeCell ref="A1:J1"/>
    <mergeCell ref="A2:B2"/>
    <mergeCell ref="C2:E2"/>
    <mergeCell ref="F2:G2"/>
    <mergeCell ref="H2:J2"/>
    <mergeCell ref="A3:B3"/>
    <mergeCell ref="C3:E3"/>
    <mergeCell ref="F3:G3"/>
    <mergeCell ref="H3:J3"/>
    <mergeCell ref="A4:B4"/>
    <mergeCell ref="C4:E4"/>
    <mergeCell ref="F4:G4"/>
    <mergeCell ref="H4:J4"/>
    <mergeCell ref="A5:B5"/>
    <mergeCell ref="C5:E5"/>
    <mergeCell ref="F5:G5"/>
    <mergeCell ref="H5:J5"/>
    <mergeCell ref="A6:B6"/>
    <mergeCell ref="C6:E6"/>
    <mergeCell ref="F6:G6"/>
    <mergeCell ref="H6:J6"/>
    <mergeCell ref="A9:J9"/>
    <mergeCell ref="A11:J11"/>
    <mergeCell ref="A14:J14"/>
    <mergeCell ref="A18:J18"/>
    <mergeCell ref="A22:J22"/>
    <mergeCell ref="A28:J28"/>
    <mergeCell ref="A33:J33"/>
    <mergeCell ref="A41:J41"/>
    <mergeCell ref="A45:G45"/>
    <mergeCell ref="A46:G46"/>
    <mergeCell ref="A48:J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6.5" hidden="false" customHeight="true" outlineLevel="0" collapsed="false">
      <c r="A2" s="2" t="s">
        <v>1</v>
      </c>
      <c r="B2" s="2"/>
      <c r="C2" s="3" t="s">
        <v>2</v>
      </c>
      <c r="D2" s="3"/>
      <c r="E2" s="3"/>
      <c r="F2" s="2" t="s">
        <v>3</v>
      </c>
      <c r="G2" s="2"/>
      <c r="H2" s="3" t="s">
        <v>4</v>
      </c>
      <c r="I2" s="3"/>
      <c r="J2" s="3"/>
    </row>
    <row r="3" customFormat="false" ht="16.5" hidden="false" customHeight="true" outlineLevel="0" collapsed="false">
      <c r="A3" s="2" t="s">
        <v>5</v>
      </c>
      <c r="B3" s="2"/>
      <c r="C3" s="3" t="s">
        <v>6</v>
      </c>
      <c r="D3" s="3"/>
      <c r="E3" s="3"/>
      <c r="F3" s="2" t="s">
        <v>7</v>
      </c>
      <c r="G3" s="2"/>
      <c r="H3" s="3" t="s">
        <v>8</v>
      </c>
      <c r="I3" s="3"/>
      <c r="J3" s="3"/>
    </row>
    <row r="4" customFormat="false" ht="16.5" hidden="false" customHeight="true" outlineLevel="0" collapsed="false">
      <c r="A4" s="2" t="s">
        <v>9</v>
      </c>
      <c r="B4" s="2"/>
      <c r="C4" s="3" t="s">
        <v>112</v>
      </c>
      <c r="D4" s="3"/>
      <c r="E4" s="3"/>
      <c r="F4" s="2" t="s">
        <v>11</v>
      </c>
      <c r="G4" s="2"/>
      <c r="H4" s="3" t="s">
        <v>101</v>
      </c>
      <c r="I4" s="3"/>
      <c r="J4" s="3"/>
    </row>
    <row r="5" customFormat="false" ht="16.5" hidden="false" customHeight="true" outlineLevel="0" collapsed="false">
      <c r="A5" s="2" t="s">
        <v>13</v>
      </c>
      <c r="B5" s="2"/>
      <c r="C5" s="3" t="s">
        <v>113</v>
      </c>
      <c r="D5" s="3"/>
      <c r="E5" s="3"/>
      <c r="F5" s="2" t="s">
        <v>15</v>
      </c>
      <c r="G5" s="2"/>
      <c r="H5" s="3" t="s">
        <v>103</v>
      </c>
      <c r="I5" s="3"/>
      <c r="J5" s="3"/>
    </row>
    <row r="6" customFormat="false" ht="16.5" hidden="false" customHeight="true" outlineLevel="0" collapsed="false">
      <c r="A6" s="2" t="s">
        <v>17</v>
      </c>
      <c r="B6" s="2"/>
      <c r="C6" s="3" t="s">
        <v>18</v>
      </c>
      <c r="D6" s="3"/>
      <c r="E6" s="3"/>
      <c r="F6" s="2" t="s">
        <v>19</v>
      </c>
      <c r="G6" s="2"/>
      <c r="H6" s="3" t="s">
        <v>20</v>
      </c>
      <c r="I6" s="3"/>
      <c r="J6" s="3"/>
    </row>
    <row r="8" customFormat="false" ht="27.75" hidden="false" customHeight="true" outlineLevel="0" collapsed="false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27</v>
      </c>
      <c r="H8" s="4" t="s">
        <v>28</v>
      </c>
      <c r="I8" s="4" t="s">
        <v>29</v>
      </c>
      <c r="J8" s="4" t="s">
        <v>30</v>
      </c>
    </row>
    <row r="9" customFormat="false" ht="18" hidden="false" customHeight="true" outlineLevel="0" collapsed="false">
      <c r="A9" s="5" t="s">
        <v>31</v>
      </c>
      <c r="B9" s="5"/>
      <c r="C9" s="5"/>
      <c r="D9" s="5"/>
      <c r="E9" s="5"/>
      <c r="F9" s="5"/>
      <c r="G9" s="5"/>
      <c r="H9" s="5"/>
      <c r="I9" s="5"/>
      <c r="J9" s="5"/>
    </row>
    <row r="10" customFormat="false" ht="21.75" hidden="false" customHeight="true" outlineLevel="0" collapsed="false">
      <c r="A10" s="6" t="n">
        <v>1</v>
      </c>
      <c r="B10" s="7" t="s">
        <v>32</v>
      </c>
      <c r="C10" s="8" t="s">
        <v>113</v>
      </c>
      <c r="D10" s="6" t="s">
        <v>101</v>
      </c>
      <c r="E10" s="6" t="s">
        <v>33</v>
      </c>
      <c r="F10" s="6" t="n">
        <v>375</v>
      </c>
      <c r="G10" s="9" t="n">
        <v>11</v>
      </c>
      <c r="H10" s="9" t="n">
        <f aca="false">F10*G10</f>
        <v>4125</v>
      </c>
      <c r="I10" s="9" t="n">
        <f aca="false">H10*0.05</f>
        <v>206.25</v>
      </c>
      <c r="J10" s="9" t="n">
        <f aca="false">H10+I10</f>
        <v>4331.25</v>
      </c>
    </row>
    <row r="11" customFormat="false" ht="18" hidden="false" customHeight="true" outlineLevel="0" collapsed="false">
      <c r="A11" s="5" t="s">
        <v>34</v>
      </c>
      <c r="B11" s="5"/>
      <c r="C11" s="5"/>
      <c r="D11" s="5"/>
      <c r="E11" s="5"/>
      <c r="F11" s="5"/>
      <c r="G11" s="5"/>
      <c r="H11" s="5"/>
      <c r="I11" s="5"/>
      <c r="J11" s="5"/>
    </row>
    <row r="12" customFormat="false" ht="21.75" hidden="false" customHeight="true" outlineLevel="0" collapsed="false">
      <c r="A12" s="10" t="n">
        <v>2</v>
      </c>
      <c r="B12" s="11" t="s">
        <v>35</v>
      </c>
      <c r="C12" s="12" t="s">
        <v>114</v>
      </c>
      <c r="D12" s="10" t="s">
        <v>105</v>
      </c>
      <c r="E12" s="10" t="s">
        <v>37</v>
      </c>
      <c r="F12" s="10" t="n">
        <v>1.5</v>
      </c>
      <c r="G12" s="13" t="n">
        <v>55</v>
      </c>
      <c r="H12" s="13" t="n">
        <f aca="false">F12*G12</f>
        <v>82.5</v>
      </c>
      <c r="I12" s="13" t="n">
        <f aca="false">H12*0.12</f>
        <v>9.9</v>
      </c>
      <c r="J12" s="13" t="n">
        <f aca="false">H12+I12</f>
        <v>92.4</v>
      </c>
    </row>
    <row r="13" customFormat="false" ht="21.75" hidden="false" customHeight="true" outlineLevel="0" collapsed="false">
      <c r="A13" s="6" t="n">
        <v>3</v>
      </c>
      <c r="B13" s="7" t="s">
        <v>35</v>
      </c>
      <c r="C13" s="8" t="s">
        <v>115</v>
      </c>
      <c r="D13" s="6" t="s">
        <v>105</v>
      </c>
      <c r="E13" s="6" t="s">
        <v>37</v>
      </c>
      <c r="F13" s="6" t="n">
        <v>0.5</v>
      </c>
      <c r="G13" s="9" t="n">
        <v>55</v>
      </c>
      <c r="H13" s="9" t="n">
        <f aca="false">F13*G13</f>
        <v>27.5</v>
      </c>
      <c r="I13" s="9" t="n">
        <f aca="false">H13*0.12</f>
        <v>3.3</v>
      </c>
      <c r="J13" s="9" t="n">
        <f aca="false">H13+I13</f>
        <v>30.8</v>
      </c>
    </row>
    <row r="14" customFormat="false" ht="21.75" hidden="false" customHeight="true" outlineLevel="0" collapsed="false">
      <c r="A14" s="10" t="n">
        <v>4</v>
      </c>
      <c r="B14" s="11" t="s">
        <v>35</v>
      </c>
      <c r="C14" s="12" t="s">
        <v>116</v>
      </c>
      <c r="D14" s="10" t="s">
        <v>117</v>
      </c>
      <c r="E14" s="10" t="s">
        <v>37</v>
      </c>
      <c r="F14" s="10" t="n">
        <v>0.25</v>
      </c>
      <c r="G14" s="13" t="n">
        <v>135</v>
      </c>
      <c r="H14" s="13" t="n">
        <f aca="false">F14*G14</f>
        <v>33.75</v>
      </c>
      <c r="I14" s="13" t="n">
        <f aca="false">H14*0.12</f>
        <v>4.05</v>
      </c>
      <c r="J14" s="13" t="n">
        <f aca="false">H14+I14</f>
        <v>37.8</v>
      </c>
    </row>
    <row r="15" customFormat="false" ht="18" hidden="false" customHeight="true" outlineLevel="0" collapsed="false">
      <c r="A15" s="5" t="s">
        <v>38</v>
      </c>
      <c r="B15" s="5"/>
      <c r="C15" s="5"/>
      <c r="D15" s="5"/>
      <c r="E15" s="5"/>
      <c r="F15" s="5"/>
      <c r="G15" s="5"/>
      <c r="H15" s="5"/>
      <c r="I15" s="5"/>
      <c r="J15" s="5"/>
    </row>
    <row r="16" customFormat="false" ht="21.75" hidden="false" customHeight="true" outlineLevel="0" collapsed="false">
      <c r="A16" s="6" t="n">
        <v>5</v>
      </c>
      <c r="B16" s="7" t="s">
        <v>39</v>
      </c>
      <c r="C16" s="8" t="s">
        <v>40</v>
      </c>
      <c r="D16" s="6" t="s">
        <v>41</v>
      </c>
      <c r="E16" s="6" t="s">
        <v>42</v>
      </c>
      <c r="F16" s="6" t="n">
        <v>100</v>
      </c>
      <c r="G16" s="9" t="n">
        <v>61</v>
      </c>
      <c r="H16" s="9" t="n">
        <f aca="false">F16*G16</f>
        <v>6100</v>
      </c>
      <c r="I16" s="9" t="n">
        <f aca="false">H16*0.12</f>
        <v>732</v>
      </c>
      <c r="J16" s="9" t="n">
        <f aca="false">H16+I16</f>
        <v>6832</v>
      </c>
    </row>
    <row r="17" customFormat="false" ht="21.75" hidden="false" customHeight="true" outlineLevel="0" collapsed="false">
      <c r="A17" s="10" t="n">
        <v>6</v>
      </c>
      <c r="B17" s="11" t="s">
        <v>39</v>
      </c>
      <c r="C17" s="12" t="s">
        <v>43</v>
      </c>
      <c r="D17" s="10" t="s">
        <v>41</v>
      </c>
      <c r="E17" s="10" t="s">
        <v>42</v>
      </c>
      <c r="F17" s="10" t="n">
        <v>100</v>
      </c>
      <c r="G17" s="13" t="n">
        <v>257</v>
      </c>
      <c r="H17" s="13" t="n">
        <f aca="false">F17*G17</f>
        <v>25700</v>
      </c>
      <c r="I17" s="13" t="n">
        <f aca="false">H17*0.12</f>
        <v>3084</v>
      </c>
      <c r="J17" s="13" t="n">
        <f aca="false">H17+I17</f>
        <v>28784</v>
      </c>
    </row>
    <row r="18" customFormat="false" ht="21.75" hidden="false" customHeight="true" outlineLevel="0" collapsed="false">
      <c r="A18" s="6" t="n">
        <v>7</v>
      </c>
      <c r="B18" s="7" t="s">
        <v>39</v>
      </c>
      <c r="C18" s="8" t="s">
        <v>44</v>
      </c>
      <c r="D18" s="6" t="s">
        <v>41</v>
      </c>
      <c r="E18" s="6" t="s">
        <v>42</v>
      </c>
      <c r="F18" s="6" t="n">
        <v>50</v>
      </c>
      <c r="G18" s="9" t="n">
        <v>162</v>
      </c>
      <c r="H18" s="9" t="n">
        <f aca="false">F18*G18</f>
        <v>8100</v>
      </c>
      <c r="I18" s="9" t="n">
        <f aca="false">H18*0.12</f>
        <v>972</v>
      </c>
      <c r="J18" s="9" t="n">
        <f aca="false">H18+I18</f>
        <v>9072</v>
      </c>
    </row>
    <row r="19" customFormat="false" ht="18" hidden="false" customHeight="true" outlineLevel="0" collapsed="false">
      <c r="A19" s="5" t="s">
        <v>45</v>
      </c>
      <c r="B19" s="5"/>
      <c r="C19" s="5"/>
      <c r="D19" s="5"/>
      <c r="E19" s="5"/>
      <c r="F19" s="5"/>
      <c r="G19" s="5"/>
      <c r="H19" s="5"/>
      <c r="I19" s="5"/>
      <c r="J19" s="5"/>
    </row>
    <row r="20" customFormat="false" ht="21.75" hidden="false" customHeight="true" outlineLevel="0" collapsed="false">
      <c r="A20" s="10" t="n">
        <v>8</v>
      </c>
      <c r="B20" s="11" t="s">
        <v>46</v>
      </c>
      <c r="C20" s="12" t="s">
        <v>46</v>
      </c>
      <c r="D20" s="10" t="s">
        <v>47</v>
      </c>
      <c r="E20" s="10" t="s">
        <v>48</v>
      </c>
      <c r="F20" s="10" t="n">
        <v>0.5</v>
      </c>
      <c r="G20" s="13" t="n">
        <v>18</v>
      </c>
      <c r="H20" s="13" t="n">
        <f aca="false">F20*G20</f>
        <v>9</v>
      </c>
      <c r="I20" s="13" t="n">
        <f aca="false">H20*0.18</f>
        <v>1.62</v>
      </c>
      <c r="J20" s="13" t="n">
        <f aca="false">H20+I20</f>
        <v>10.62</v>
      </c>
    </row>
    <row r="21" customFormat="false" ht="21.75" hidden="false" customHeight="true" outlineLevel="0" collapsed="false">
      <c r="A21" s="6" t="n">
        <v>9</v>
      </c>
      <c r="B21" s="7" t="s">
        <v>46</v>
      </c>
      <c r="C21" s="8" t="s">
        <v>49</v>
      </c>
      <c r="D21" s="6" t="s">
        <v>50</v>
      </c>
      <c r="E21" s="6" t="s">
        <v>51</v>
      </c>
      <c r="F21" s="6" t="n">
        <v>0.15</v>
      </c>
      <c r="G21" s="9" t="n">
        <v>95</v>
      </c>
      <c r="H21" s="9" t="n">
        <f aca="false">F21*G21</f>
        <v>14.25</v>
      </c>
      <c r="I21" s="9" t="n">
        <f aca="false">H21*0.18</f>
        <v>2.565</v>
      </c>
      <c r="J21" s="9" t="n">
        <f aca="false">H21+I21</f>
        <v>16.815</v>
      </c>
    </row>
    <row r="22" customFormat="false" ht="21.75" hidden="false" customHeight="true" outlineLevel="0" collapsed="false">
      <c r="A22" s="10" t="n">
        <v>10</v>
      </c>
      <c r="B22" s="11" t="s">
        <v>46</v>
      </c>
      <c r="C22" s="12" t="s">
        <v>52</v>
      </c>
      <c r="D22" s="10" t="s">
        <v>53</v>
      </c>
      <c r="E22" s="10" t="s">
        <v>48</v>
      </c>
      <c r="F22" s="10" t="n">
        <v>3.75</v>
      </c>
      <c r="G22" s="13" t="n">
        <v>8</v>
      </c>
      <c r="H22" s="13" t="n">
        <f aca="false">F22*G22</f>
        <v>30</v>
      </c>
      <c r="I22" s="13" t="n">
        <f aca="false">H22*0.18</f>
        <v>5.4</v>
      </c>
      <c r="J22" s="13" t="n">
        <f aca="false">H22+I22</f>
        <v>35.4</v>
      </c>
    </row>
    <row r="23" customFormat="false" ht="18" hidden="false" customHeight="true" outlineLevel="0" collapsed="false">
      <c r="A23" s="5" t="s">
        <v>54</v>
      </c>
      <c r="B23" s="5"/>
      <c r="C23" s="5"/>
      <c r="D23" s="5"/>
      <c r="E23" s="5"/>
      <c r="F23" s="5"/>
      <c r="G23" s="5"/>
      <c r="H23" s="5"/>
      <c r="I23" s="5"/>
      <c r="J23" s="5"/>
    </row>
    <row r="24" customFormat="false" ht="21.75" hidden="false" customHeight="true" outlineLevel="0" collapsed="false">
      <c r="A24" s="6" t="n">
        <v>11</v>
      </c>
      <c r="B24" s="7" t="s">
        <v>55</v>
      </c>
      <c r="C24" s="8" t="s">
        <v>118</v>
      </c>
      <c r="D24" s="6" t="s">
        <v>41</v>
      </c>
      <c r="E24" s="6" t="s">
        <v>58</v>
      </c>
      <c r="F24" s="6" t="n">
        <v>1</v>
      </c>
      <c r="G24" s="9" t="n">
        <v>40</v>
      </c>
      <c r="H24" s="9" t="n">
        <f aca="false">F24*G24</f>
        <v>40</v>
      </c>
      <c r="I24" s="9" t="n">
        <f aca="false">H24*0.12</f>
        <v>4.8</v>
      </c>
      <c r="J24" s="9" t="n">
        <f aca="false">H24+I24</f>
        <v>44.8</v>
      </c>
    </row>
    <row r="25" customFormat="false" ht="21.75" hidden="false" customHeight="true" outlineLevel="0" collapsed="false">
      <c r="A25" s="10" t="n">
        <v>12</v>
      </c>
      <c r="B25" s="11" t="s">
        <v>55</v>
      </c>
      <c r="C25" s="12" t="s">
        <v>119</v>
      </c>
      <c r="D25" s="10" t="s">
        <v>41</v>
      </c>
      <c r="E25" s="10" t="s">
        <v>58</v>
      </c>
      <c r="F25" s="10" t="n">
        <v>1</v>
      </c>
      <c r="G25" s="13" t="n">
        <v>8</v>
      </c>
      <c r="H25" s="13" t="n">
        <f aca="false">F25*G25</f>
        <v>8</v>
      </c>
      <c r="I25" s="13" t="n">
        <f aca="false">H25*0.12</f>
        <v>0.96</v>
      </c>
      <c r="J25" s="13" t="n">
        <f aca="false">H25+I25</f>
        <v>8.96</v>
      </c>
    </row>
    <row r="26" customFormat="false" ht="21.75" hidden="false" customHeight="true" outlineLevel="0" collapsed="false">
      <c r="A26" s="6" t="n">
        <v>13</v>
      </c>
      <c r="B26" s="7" t="s">
        <v>55</v>
      </c>
      <c r="C26" s="8" t="s">
        <v>120</v>
      </c>
      <c r="D26" s="6" t="s">
        <v>121</v>
      </c>
      <c r="E26" s="6" t="s">
        <v>58</v>
      </c>
      <c r="F26" s="6" t="n">
        <v>2</v>
      </c>
      <c r="G26" s="9" t="n">
        <v>15</v>
      </c>
      <c r="H26" s="9" t="n">
        <f aca="false">F26*G26</f>
        <v>30</v>
      </c>
      <c r="I26" s="9" t="n">
        <f aca="false">H26*0.12</f>
        <v>3.6</v>
      </c>
      <c r="J26" s="9" t="n">
        <f aca="false">H26+I26</f>
        <v>33.6</v>
      </c>
    </row>
    <row r="27" customFormat="false" ht="21.75" hidden="false" customHeight="true" outlineLevel="0" collapsed="false">
      <c r="A27" s="10" t="n">
        <v>14</v>
      </c>
      <c r="B27" s="11" t="s">
        <v>55</v>
      </c>
      <c r="C27" s="12" t="s">
        <v>122</v>
      </c>
      <c r="D27" s="10" t="s">
        <v>60</v>
      </c>
      <c r="E27" s="10" t="s">
        <v>58</v>
      </c>
      <c r="F27" s="10" t="n">
        <v>2</v>
      </c>
      <c r="G27" s="13" t="n">
        <v>2.5</v>
      </c>
      <c r="H27" s="13" t="n">
        <f aca="false">F27*G27</f>
        <v>5</v>
      </c>
      <c r="I27" s="13" t="n">
        <f aca="false">H27*0.12</f>
        <v>0.6</v>
      </c>
      <c r="J27" s="13" t="n">
        <f aca="false">H27+I27</f>
        <v>5.6</v>
      </c>
    </row>
    <row r="28" customFormat="false" ht="21.75" hidden="false" customHeight="true" outlineLevel="0" collapsed="false">
      <c r="A28" s="6" t="n">
        <v>15</v>
      </c>
      <c r="B28" s="7" t="s">
        <v>55</v>
      </c>
      <c r="C28" s="8" t="s">
        <v>123</v>
      </c>
      <c r="D28" s="6" t="s">
        <v>41</v>
      </c>
      <c r="E28" s="6" t="s">
        <v>58</v>
      </c>
      <c r="F28" s="6" t="n">
        <v>1</v>
      </c>
      <c r="G28" s="9" t="n">
        <v>10</v>
      </c>
      <c r="H28" s="9" t="n">
        <f aca="false">F28*G28</f>
        <v>10</v>
      </c>
      <c r="I28" s="9" t="n">
        <f aca="false">H28*0.12</f>
        <v>1.2</v>
      </c>
      <c r="J28" s="9" t="n">
        <f aca="false">H28+I28</f>
        <v>11.2</v>
      </c>
    </row>
    <row r="29" customFormat="false" ht="21.75" hidden="false" customHeight="true" outlineLevel="0" collapsed="false">
      <c r="A29" s="10" t="n">
        <v>16</v>
      </c>
      <c r="B29" s="11" t="s">
        <v>55</v>
      </c>
      <c r="C29" s="12" t="s">
        <v>124</v>
      </c>
      <c r="D29" s="10" t="s">
        <v>50</v>
      </c>
      <c r="E29" s="10" t="s">
        <v>58</v>
      </c>
      <c r="F29" s="10" t="n">
        <v>1</v>
      </c>
      <c r="G29" s="13" t="n">
        <v>2</v>
      </c>
      <c r="H29" s="13" t="n">
        <f aca="false">F29*G29</f>
        <v>2</v>
      </c>
      <c r="I29" s="13" t="n">
        <f aca="false">H29*0.12</f>
        <v>0.24</v>
      </c>
      <c r="J29" s="13" t="n">
        <f aca="false">H29+I29</f>
        <v>2.24</v>
      </c>
    </row>
    <row r="30" customFormat="false" ht="21.75" hidden="false" customHeight="true" outlineLevel="0" collapsed="false">
      <c r="A30" s="6" t="n">
        <v>17</v>
      </c>
      <c r="B30" s="7" t="s">
        <v>55</v>
      </c>
      <c r="C30" s="8" t="s">
        <v>62</v>
      </c>
      <c r="D30" s="6" t="s">
        <v>50</v>
      </c>
      <c r="E30" s="6" t="s">
        <v>58</v>
      </c>
      <c r="F30" s="6" t="n">
        <v>1</v>
      </c>
      <c r="G30" s="9" t="n">
        <v>1</v>
      </c>
      <c r="H30" s="9" t="n">
        <f aca="false">F30*G30</f>
        <v>1</v>
      </c>
      <c r="I30" s="9" t="n">
        <f aca="false">H30*0.12</f>
        <v>0.12</v>
      </c>
      <c r="J30" s="9" t="n">
        <f aca="false">H30+I30</f>
        <v>1.12</v>
      </c>
    </row>
    <row r="31" customFormat="false" ht="18" hidden="false" customHeight="true" outlineLevel="0" collapsed="false">
      <c r="A31" s="5" t="s">
        <v>65</v>
      </c>
      <c r="B31" s="5"/>
      <c r="C31" s="5"/>
      <c r="D31" s="5"/>
      <c r="E31" s="5"/>
      <c r="F31" s="5"/>
      <c r="G31" s="5"/>
      <c r="H31" s="5"/>
      <c r="I31" s="5"/>
      <c r="J31" s="5"/>
    </row>
    <row r="32" customFormat="false" ht="21.75" hidden="false" customHeight="true" outlineLevel="0" collapsed="false">
      <c r="A32" s="10" t="n">
        <v>18</v>
      </c>
      <c r="B32" s="11" t="s">
        <v>66</v>
      </c>
      <c r="C32" s="12" t="s">
        <v>110</v>
      </c>
      <c r="D32" s="10" t="s">
        <v>50</v>
      </c>
      <c r="E32" s="10" t="s">
        <v>58</v>
      </c>
      <c r="F32" s="10" t="n">
        <v>1</v>
      </c>
      <c r="G32" s="13" t="n">
        <v>30</v>
      </c>
      <c r="H32" s="13" t="n">
        <f aca="false">F32*G32</f>
        <v>30</v>
      </c>
      <c r="I32" s="13" t="n">
        <f aca="false">H32*0.12</f>
        <v>3.6</v>
      </c>
      <c r="J32" s="13" t="n">
        <f aca="false">H32+I32</f>
        <v>33.6</v>
      </c>
    </row>
    <row r="33" customFormat="false" ht="21.75" hidden="false" customHeight="true" outlineLevel="0" collapsed="false">
      <c r="A33" s="6" t="n">
        <v>19</v>
      </c>
      <c r="B33" s="7" t="s">
        <v>66</v>
      </c>
      <c r="C33" s="8" t="s">
        <v>68</v>
      </c>
      <c r="D33" s="6" t="s">
        <v>50</v>
      </c>
      <c r="E33" s="6" t="s">
        <v>58</v>
      </c>
      <c r="F33" s="6" t="n">
        <v>1</v>
      </c>
      <c r="G33" s="9" t="n">
        <v>0</v>
      </c>
      <c r="H33" s="9" t="n">
        <f aca="false">F33*G33</f>
        <v>0</v>
      </c>
      <c r="I33" s="9" t="n">
        <f aca="false">H33*0.12</f>
        <v>0</v>
      </c>
      <c r="J33" s="9" t="n">
        <f aca="false">H33+I33</f>
        <v>0</v>
      </c>
    </row>
    <row r="34" customFormat="false" ht="21.75" hidden="false" customHeight="true" outlineLevel="0" collapsed="false">
      <c r="A34" s="10" t="n">
        <v>20</v>
      </c>
      <c r="B34" s="11" t="s">
        <v>66</v>
      </c>
      <c r="C34" s="12" t="s">
        <v>69</v>
      </c>
      <c r="D34" s="10" t="s">
        <v>50</v>
      </c>
      <c r="E34" s="10" t="s">
        <v>58</v>
      </c>
      <c r="F34" s="10" t="n">
        <v>1</v>
      </c>
      <c r="G34" s="13" t="n">
        <v>3.5</v>
      </c>
      <c r="H34" s="13" t="n">
        <f aca="false">F34*G34</f>
        <v>3.5</v>
      </c>
      <c r="I34" s="13" t="n">
        <f aca="false">H34*0.12</f>
        <v>0.42</v>
      </c>
      <c r="J34" s="13" t="n">
        <f aca="false">H34+I34</f>
        <v>3.92</v>
      </c>
    </row>
    <row r="35" customFormat="false" ht="21.75" hidden="false" customHeight="true" outlineLevel="0" collapsed="false">
      <c r="A35" s="6" t="n">
        <v>21</v>
      </c>
      <c r="B35" s="7" t="s">
        <v>66</v>
      </c>
      <c r="C35" s="8" t="s">
        <v>70</v>
      </c>
      <c r="D35" s="6" t="s">
        <v>50</v>
      </c>
      <c r="E35" s="6" t="s">
        <v>58</v>
      </c>
      <c r="F35" s="6" t="n">
        <v>1</v>
      </c>
      <c r="G35" s="9" t="n">
        <v>3.5</v>
      </c>
      <c r="H35" s="9" t="n">
        <f aca="false">F35*G35</f>
        <v>3.5</v>
      </c>
      <c r="I35" s="9" t="n">
        <f aca="false">H35*0.12</f>
        <v>0.42</v>
      </c>
      <c r="J35" s="9" t="n">
        <f aca="false">H35+I35</f>
        <v>3.92</v>
      </c>
    </row>
    <row r="36" customFormat="false" ht="18" hidden="false" customHeight="true" outlineLevel="0" collapsed="false">
      <c r="A36" s="5" t="s">
        <v>71</v>
      </c>
      <c r="B36" s="5"/>
      <c r="C36" s="5"/>
      <c r="D36" s="5"/>
      <c r="E36" s="5"/>
      <c r="F36" s="5"/>
      <c r="G36" s="5"/>
      <c r="H36" s="5"/>
      <c r="I36" s="5"/>
      <c r="J36" s="5"/>
    </row>
    <row r="37" customFormat="false" ht="21.75" hidden="false" customHeight="true" outlineLevel="0" collapsed="false">
      <c r="A37" s="10" t="n">
        <v>22</v>
      </c>
      <c r="B37" s="11" t="s">
        <v>72</v>
      </c>
      <c r="C37" s="12" t="s">
        <v>73</v>
      </c>
      <c r="D37" s="10" t="s">
        <v>50</v>
      </c>
      <c r="E37" s="10" t="s">
        <v>58</v>
      </c>
      <c r="F37" s="10" t="n">
        <v>1</v>
      </c>
      <c r="G37" s="13" t="n">
        <v>5</v>
      </c>
      <c r="H37" s="13" t="n">
        <f aca="false">F37*G37</f>
        <v>5</v>
      </c>
      <c r="I37" s="13" t="n">
        <f aca="false">H37*0.18</f>
        <v>0.9</v>
      </c>
      <c r="J37" s="13" t="n">
        <f aca="false">H37+I37</f>
        <v>5.9</v>
      </c>
    </row>
    <row r="38" customFormat="false" ht="21.75" hidden="false" customHeight="true" outlineLevel="0" collapsed="false">
      <c r="A38" s="6" t="n">
        <v>23</v>
      </c>
      <c r="B38" s="7" t="s">
        <v>72</v>
      </c>
      <c r="C38" s="8" t="s">
        <v>74</v>
      </c>
      <c r="D38" s="6" t="s">
        <v>50</v>
      </c>
      <c r="E38" s="6" t="s">
        <v>58</v>
      </c>
      <c r="F38" s="6" t="n">
        <v>1</v>
      </c>
      <c r="G38" s="9" t="n">
        <v>5</v>
      </c>
      <c r="H38" s="9" t="n">
        <f aca="false">F38*G38</f>
        <v>5</v>
      </c>
      <c r="I38" s="9" t="n">
        <f aca="false">H38*0.18</f>
        <v>0.9</v>
      </c>
      <c r="J38" s="9" t="n">
        <f aca="false">H38+I38</f>
        <v>5.9</v>
      </c>
    </row>
    <row r="39" customFormat="false" ht="21.75" hidden="false" customHeight="true" outlineLevel="0" collapsed="false">
      <c r="A39" s="10" t="n">
        <v>24</v>
      </c>
      <c r="B39" s="11" t="s">
        <v>72</v>
      </c>
      <c r="C39" s="12" t="s">
        <v>75</v>
      </c>
      <c r="D39" s="10" t="s">
        <v>50</v>
      </c>
      <c r="E39" s="10" t="s">
        <v>76</v>
      </c>
      <c r="F39" s="10" t="n">
        <v>1</v>
      </c>
      <c r="G39" s="13" t="n">
        <v>12</v>
      </c>
      <c r="H39" s="13" t="n">
        <f aca="false">F39*G39</f>
        <v>12</v>
      </c>
      <c r="I39" s="13" t="n">
        <f aca="false">H39*0.18</f>
        <v>2.16</v>
      </c>
      <c r="J39" s="13" t="n">
        <f aca="false">H39+I39</f>
        <v>14.16</v>
      </c>
    </row>
    <row r="40" customFormat="false" ht="21.75" hidden="false" customHeight="true" outlineLevel="0" collapsed="false">
      <c r="A40" s="6" t="n">
        <v>25</v>
      </c>
      <c r="B40" s="7" t="s">
        <v>72</v>
      </c>
      <c r="C40" s="8" t="s">
        <v>77</v>
      </c>
      <c r="D40" s="6" t="s">
        <v>50</v>
      </c>
      <c r="E40" s="6" t="s">
        <v>76</v>
      </c>
      <c r="F40" s="6" t="n">
        <v>0.2</v>
      </c>
      <c r="G40" s="9" t="n">
        <v>115</v>
      </c>
      <c r="H40" s="9" t="n">
        <f aca="false">F40*G40</f>
        <v>23</v>
      </c>
      <c r="I40" s="9" t="n">
        <f aca="false">H40*0.18</f>
        <v>4.14</v>
      </c>
      <c r="J40" s="9" t="n">
        <f aca="false">H40+I40</f>
        <v>27.14</v>
      </c>
    </row>
    <row r="41" customFormat="false" ht="21.75" hidden="false" customHeight="true" outlineLevel="0" collapsed="false">
      <c r="A41" s="10" t="n">
        <v>26</v>
      </c>
      <c r="B41" s="11" t="s">
        <v>72</v>
      </c>
      <c r="C41" s="12" t="s">
        <v>78</v>
      </c>
      <c r="D41" s="10" t="s">
        <v>50</v>
      </c>
      <c r="E41" s="10" t="s">
        <v>79</v>
      </c>
      <c r="F41" s="10" t="n">
        <v>2</v>
      </c>
      <c r="G41" s="13" t="n">
        <v>1.35</v>
      </c>
      <c r="H41" s="13" t="n">
        <f aca="false">F41*G41</f>
        <v>2.7</v>
      </c>
      <c r="I41" s="13" t="n">
        <f aca="false">H41*0.18</f>
        <v>0.486</v>
      </c>
      <c r="J41" s="13" t="n">
        <f aca="false">H41+I41</f>
        <v>3.186</v>
      </c>
    </row>
    <row r="42" customFormat="false" ht="21.75" hidden="false" customHeight="true" outlineLevel="0" collapsed="false">
      <c r="A42" s="6" t="n">
        <v>27</v>
      </c>
      <c r="B42" s="7" t="s">
        <v>72</v>
      </c>
      <c r="C42" s="8" t="s">
        <v>80</v>
      </c>
      <c r="D42" s="6" t="s">
        <v>50</v>
      </c>
      <c r="E42" s="6" t="s">
        <v>58</v>
      </c>
      <c r="F42" s="6" t="n">
        <v>0.07</v>
      </c>
      <c r="G42" s="9" t="n">
        <v>168</v>
      </c>
      <c r="H42" s="9" t="n">
        <f aca="false">F42*G42</f>
        <v>11.76</v>
      </c>
      <c r="I42" s="9" t="n">
        <f aca="false">H42*0.18</f>
        <v>2.1168</v>
      </c>
      <c r="J42" s="9" t="n">
        <f aca="false">H42+I42</f>
        <v>13.8768</v>
      </c>
    </row>
    <row r="43" customFormat="false" ht="21.75" hidden="false" customHeight="true" outlineLevel="0" collapsed="false">
      <c r="A43" s="10" t="n">
        <v>28</v>
      </c>
      <c r="B43" s="11" t="s">
        <v>72</v>
      </c>
      <c r="C43" s="12" t="s">
        <v>81</v>
      </c>
      <c r="D43" s="10" t="s">
        <v>82</v>
      </c>
      <c r="E43" s="10" t="s">
        <v>83</v>
      </c>
      <c r="F43" s="10" t="n">
        <v>0.1</v>
      </c>
      <c r="G43" s="13" t="n">
        <v>54</v>
      </c>
      <c r="H43" s="13" t="n">
        <f aca="false">F43*G43</f>
        <v>5.4</v>
      </c>
      <c r="I43" s="13" t="n">
        <f aca="false">H43*0.18</f>
        <v>0.972</v>
      </c>
      <c r="J43" s="13" t="n">
        <f aca="false">H43+I43</f>
        <v>6.372</v>
      </c>
    </row>
    <row r="44" customFormat="false" ht="18" hidden="false" customHeight="true" outlineLevel="0" collapsed="false">
      <c r="A44" s="5" t="s">
        <v>84</v>
      </c>
      <c r="B44" s="5"/>
      <c r="C44" s="5"/>
      <c r="D44" s="5"/>
      <c r="E44" s="5"/>
      <c r="F44" s="5"/>
      <c r="G44" s="5"/>
      <c r="H44" s="5"/>
      <c r="I44" s="5"/>
      <c r="J44" s="5"/>
    </row>
    <row r="45" customFormat="false" ht="21.75" hidden="false" customHeight="true" outlineLevel="0" collapsed="false">
      <c r="A45" s="6" t="n">
        <v>29</v>
      </c>
      <c r="B45" s="7" t="s">
        <v>85</v>
      </c>
      <c r="C45" s="8" t="s">
        <v>86</v>
      </c>
      <c r="D45" s="6" t="s">
        <v>87</v>
      </c>
      <c r="E45" s="6" t="s">
        <v>58</v>
      </c>
      <c r="F45" s="6" t="n">
        <v>1</v>
      </c>
      <c r="G45" s="9" t="n">
        <v>1000</v>
      </c>
      <c r="H45" s="9" t="n">
        <f aca="false">F45*G45</f>
        <v>1000</v>
      </c>
      <c r="I45" s="9" t="n">
        <f aca="false">H45*0</f>
        <v>0</v>
      </c>
      <c r="J45" s="9" t="n">
        <f aca="false">H45+I45</f>
        <v>1000</v>
      </c>
    </row>
    <row r="46" customFormat="false" ht="21.75" hidden="false" customHeight="true" outlineLevel="0" collapsed="false">
      <c r="A46" s="10" t="n">
        <v>30</v>
      </c>
      <c r="B46" s="11" t="s">
        <v>88</v>
      </c>
      <c r="C46" s="12" t="s">
        <v>89</v>
      </c>
      <c r="D46" s="10" t="s">
        <v>87</v>
      </c>
      <c r="E46" s="10" t="s">
        <v>58</v>
      </c>
      <c r="F46" s="10" t="n">
        <v>1</v>
      </c>
      <c r="G46" s="13" t="n">
        <v>450</v>
      </c>
      <c r="H46" s="13" t="n">
        <f aca="false">F46*G46</f>
        <v>450</v>
      </c>
      <c r="I46" s="13" t="n">
        <f aca="false">H46*0</f>
        <v>0</v>
      </c>
      <c r="J46" s="13" t="n">
        <f aca="false">H46+I46</f>
        <v>450</v>
      </c>
    </row>
    <row r="48" customFormat="false" ht="21.75" hidden="false" customHeight="true" outlineLevel="0" collapsed="false">
      <c r="A48" s="14" t="s">
        <v>90</v>
      </c>
      <c r="B48" s="14"/>
      <c r="C48" s="14"/>
      <c r="D48" s="14"/>
      <c r="E48" s="14"/>
      <c r="F48" s="14"/>
      <c r="G48" s="14"/>
      <c r="H48" s="15" t="n">
        <f aca="false">H10+H12+H13+H14+H16+H17+H18+H20+H21+H22+H24+H25+H26+H27+H28+H29+H30+H32+H33+H34+H35+H37+H38+H39+H40+H41+H42+H43+H45+H46</f>
        <v>45869.86</v>
      </c>
      <c r="I48" s="15" t="n">
        <f aca="false">I10+I12+I13+I14+I16+I17+I18+I20+I21+I22+I24+I25+I26+I27+I28+I29+I30+I32+I33+I34+I35+I37+I38+I39+I40+I41+I42+I43+I45+I46</f>
        <v>5048.7198</v>
      </c>
      <c r="J48" s="15" t="n">
        <f aca="false">J10+J12+J13+J14+J16+J17+J18+J20+J21+J22+J24+J25+J26+J27+J28+J29+J30+J32+J33+J34+J35+J37+J38+J39+J40+J41+J42+J43+J45+J46</f>
        <v>50918.5798</v>
      </c>
    </row>
    <row r="49" customFormat="false" ht="18" hidden="false" customHeight="true" outlineLevel="0" collapsed="false">
      <c r="A49" s="16" t="s">
        <v>91</v>
      </c>
      <c r="B49" s="16"/>
      <c r="C49" s="16"/>
      <c r="D49" s="16"/>
      <c r="E49" s="16"/>
      <c r="F49" s="16"/>
      <c r="G49" s="16"/>
      <c r="H49" s="17"/>
      <c r="I49" s="17"/>
      <c r="J49" s="17"/>
    </row>
    <row r="51" customFormat="false" ht="39.75" hidden="false" customHeight="true" outlineLevel="0" collapsed="false">
      <c r="A51" s="18" t="s">
        <v>125</v>
      </c>
      <c r="B51" s="18"/>
      <c r="C51" s="18"/>
      <c r="D51" s="18"/>
      <c r="E51" s="18"/>
      <c r="F51" s="18"/>
      <c r="G51" s="18"/>
      <c r="H51" s="18"/>
      <c r="I51" s="18"/>
      <c r="J51" s="18"/>
    </row>
  </sheetData>
  <mergeCells count="32">
    <mergeCell ref="A1:J1"/>
    <mergeCell ref="A2:B2"/>
    <mergeCell ref="C2:E2"/>
    <mergeCell ref="F2:G2"/>
    <mergeCell ref="H2:J2"/>
    <mergeCell ref="A3:B3"/>
    <mergeCell ref="C3:E3"/>
    <mergeCell ref="F3:G3"/>
    <mergeCell ref="H3:J3"/>
    <mergeCell ref="A4:B4"/>
    <mergeCell ref="C4:E4"/>
    <mergeCell ref="F4:G4"/>
    <mergeCell ref="H4:J4"/>
    <mergeCell ref="A5:B5"/>
    <mergeCell ref="C5:E5"/>
    <mergeCell ref="F5:G5"/>
    <mergeCell ref="H5:J5"/>
    <mergeCell ref="A6:B6"/>
    <mergeCell ref="C6:E6"/>
    <mergeCell ref="F6:G6"/>
    <mergeCell ref="H6:J6"/>
    <mergeCell ref="A9:J9"/>
    <mergeCell ref="A11:J11"/>
    <mergeCell ref="A15:J15"/>
    <mergeCell ref="A19:J19"/>
    <mergeCell ref="A23:J23"/>
    <mergeCell ref="A31:J31"/>
    <mergeCell ref="A36:J36"/>
    <mergeCell ref="A44:J44"/>
    <mergeCell ref="A48:G48"/>
    <mergeCell ref="A49:G49"/>
    <mergeCell ref="A51:J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6.5" hidden="false" customHeight="true" outlineLevel="0" collapsed="false">
      <c r="A2" s="2" t="s">
        <v>1</v>
      </c>
      <c r="B2" s="2"/>
      <c r="C2" s="3" t="s">
        <v>2</v>
      </c>
      <c r="D2" s="3"/>
      <c r="E2" s="3"/>
      <c r="F2" s="2" t="s">
        <v>3</v>
      </c>
      <c r="G2" s="2"/>
      <c r="H2" s="3" t="s">
        <v>4</v>
      </c>
      <c r="I2" s="3"/>
      <c r="J2" s="3"/>
    </row>
    <row r="3" customFormat="false" ht="16.5" hidden="false" customHeight="true" outlineLevel="0" collapsed="false">
      <c r="A3" s="2" t="s">
        <v>5</v>
      </c>
      <c r="B3" s="2"/>
      <c r="C3" s="3" t="s">
        <v>6</v>
      </c>
      <c r="D3" s="3"/>
      <c r="E3" s="3"/>
      <c r="F3" s="2" t="s">
        <v>7</v>
      </c>
      <c r="G3" s="2"/>
      <c r="H3" s="3" t="s">
        <v>8</v>
      </c>
      <c r="I3" s="3"/>
      <c r="J3" s="3"/>
    </row>
    <row r="4" customFormat="false" ht="16.5" hidden="false" customHeight="true" outlineLevel="0" collapsed="false">
      <c r="A4" s="2" t="s">
        <v>9</v>
      </c>
      <c r="B4" s="2"/>
      <c r="C4" s="3" t="s">
        <v>126</v>
      </c>
      <c r="D4" s="3"/>
      <c r="E4" s="3"/>
      <c r="F4" s="2" t="s">
        <v>11</v>
      </c>
      <c r="G4" s="2"/>
      <c r="H4" s="3" t="s">
        <v>127</v>
      </c>
      <c r="I4" s="3"/>
      <c r="J4" s="3"/>
    </row>
    <row r="5" customFormat="false" ht="16.5" hidden="false" customHeight="true" outlineLevel="0" collapsed="false">
      <c r="A5" s="2" t="s">
        <v>13</v>
      </c>
      <c r="B5" s="2"/>
      <c r="C5" s="3" t="s">
        <v>128</v>
      </c>
      <c r="D5" s="3"/>
      <c r="E5" s="3"/>
      <c r="F5" s="2" t="s">
        <v>15</v>
      </c>
      <c r="G5" s="2"/>
      <c r="H5" s="3" t="s">
        <v>103</v>
      </c>
      <c r="I5" s="3"/>
      <c r="J5" s="3"/>
    </row>
    <row r="6" customFormat="false" ht="16.5" hidden="false" customHeight="true" outlineLevel="0" collapsed="false">
      <c r="A6" s="2" t="s">
        <v>17</v>
      </c>
      <c r="B6" s="2"/>
      <c r="C6" s="3" t="s">
        <v>18</v>
      </c>
      <c r="D6" s="3"/>
      <c r="E6" s="3"/>
      <c r="F6" s="2" t="s">
        <v>19</v>
      </c>
      <c r="G6" s="2"/>
      <c r="H6" s="3" t="s">
        <v>20</v>
      </c>
      <c r="I6" s="3"/>
      <c r="J6" s="3"/>
    </row>
    <row r="8" customFormat="false" ht="27.75" hidden="false" customHeight="true" outlineLevel="0" collapsed="false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27</v>
      </c>
      <c r="H8" s="4" t="s">
        <v>28</v>
      </c>
      <c r="I8" s="4" t="s">
        <v>29</v>
      </c>
      <c r="J8" s="4" t="s">
        <v>30</v>
      </c>
    </row>
    <row r="9" customFormat="false" ht="18" hidden="false" customHeight="true" outlineLevel="0" collapsed="false">
      <c r="A9" s="5" t="s">
        <v>31</v>
      </c>
      <c r="B9" s="5"/>
      <c r="C9" s="5"/>
      <c r="D9" s="5"/>
      <c r="E9" s="5"/>
      <c r="F9" s="5"/>
      <c r="G9" s="5"/>
      <c r="H9" s="5"/>
      <c r="I9" s="5"/>
      <c r="J9" s="5"/>
    </row>
    <row r="10" customFormat="false" ht="21.75" hidden="false" customHeight="true" outlineLevel="0" collapsed="false">
      <c r="A10" s="6" t="n">
        <v>1</v>
      </c>
      <c r="B10" s="7" t="s">
        <v>32</v>
      </c>
      <c r="C10" s="8" t="s">
        <v>128</v>
      </c>
      <c r="D10" s="6" t="s">
        <v>127</v>
      </c>
      <c r="E10" s="6" t="s">
        <v>33</v>
      </c>
      <c r="F10" s="6" t="n">
        <v>375</v>
      </c>
      <c r="G10" s="9" t="n">
        <v>11</v>
      </c>
      <c r="H10" s="9" t="n">
        <f aca="false">F10*G10</f>
        <v>4125</v>
      </c>
      <c r="I10" s="9" t="n">
        <f aca="false">H10*0.05</f>
        <v>206.25</v>
      </c>
      <c r="J10" s="9" t="n">
        <f aca="false">H10+I10</f>
        <v>4331.25</v>
      </c>
    </row>
    <row r="11" customFormat="false" ht="18" hidden="false" customHeight="true" outlineLevel="0" collapsed="false">
      <c r="A11" s="5" t="s">
        <v>34</v>
      </c>
      <c r="B11" s="5"/>
      <c r="C11" s="5"/>
      <c r="D11" s="5"/>
      <c r="E11" s="5"/>
      <c r="F11" s="5"/>
      <c r="G11" s="5"/>
      <c r="H11" s="5"/>
      <c r="I11" s="5"/>
      <c r="J11" s="5"/>
    </row>
    <row r="12" customFormat="false" ht="21.75" hidden="false" customHeight="true" outlineLevel="0" collapsed="false">
      <c r="A12" s="10" t="n">
        <v>2</v>
      </c>
      <c r="B12" s="11" t="s">
        <v>35</v>
      </c>
      <c r="C12" s="12" t="s">
        <v>114</v>
      </c>
      <c r="D12" s="10" t="s">
        <v>41</v>
      </c>
      <c r="E12" s="10" t="s">
        <v>37</v>
      </c>
      <c r="F12" s="10" t="n">
        <v>1.5</v>
      </c>
      <c r="G12" s="13" t="n">
        <v>55</v>
      </c>
      <c r="H12" s="13" t="n">
        <f aca="false">F12*G12</f>
        <v>82.5</v>
      </c>
      <c r="I12" s="13" t="n">
        <f aca="false">H12*0.12</f>
        <v>9.9</v>
      </c>
      <c r="J12" s="13" t="n">
        <f aca="false">H12+I12</f>
        <v>92.4</v>
      </c>
    </row>
    <row r="13" customFormat="false" ht="21.75" hidden="false" customHeight="true" outlineLevel="0" collapsed="false">
      <c r="A13" s="6" t="n">
        <v>3</v>
      </c>
      <c r="B13" s="7" t="s">
        <v>35</v>
      </c>
      <c r="C13" s="8" t="s">
        <v>129</v>
      </c>
      <c r="D13" s="6" t="s">
        <v>41</v>
      </c>
      <c r="E13" s="6" t="s">
        <v>37</v>
      </c>
      <c r="F13" s="6" t="n">
        <v>0.5</v>
      </c>
      <c r="G13" s="9" t="n">
        <v>55</v>
      </c>
      <c r="H13" s="9" t="n">
        <f aca="false">F13*G13</f>
        <v>27.5</v>
      </c>
      <c r="I13" s="9" t="n">
        <f aca="false">H13*0.12</f>
        <v>3.3</v>
      </c>
      <c r="J13" s="9" t="n">
        <f aca="false">H13+I13</f>
        <v>30.8</v>
      </c>
    </row>
    <row r="14" customFormat="false" ht="21.75" hidden="false" customHeight="true" outlineLevel="0" collapsed="false">
      <c r="A14" s="10" t="n">
        <v>4</v>
      </c>
      <c r="B14" s="11" t="s">
        <v>35</v>
      </c>
      <c r="C14" s="12" t="s">
        <v>116</v>
      </c>
      <c r="D14" s="10" t="s">
        <v>117</v>
      </c>
      <c r="E14" s="10" t="s">
        <v>37</v>
      </c>
      <c r="F14" s="10" t="n">
        <v>0.25</v>
      </c>
      <c r="G14" s="13" t="n">
        <v>135</v>
      </c>
      <c r="H14" s="13" t="n">
        <f aca="false">F14*G14</f>
        <v>33.75</v>
      </c>
      <c r="I14" s="13" t="n">
        <f aca="false">H14*0.12</f>
        <v>4.05</v>
      </c>
      <c r="J14" s="13" t="n">
        <f aca="false">H14+I14</f>
        <v>37.8</v>
      </c>
    </row>
    <row r="15" customFormat="false" ht="18" hidden="false" customHeight="true" outlineLevel="0" collapsed="false">
      <c r="A15" s="5" t="s">
        <v>38</v>
      </c>
      <c r="B15" s="5"/>
      <c r="C15" s="5"/>
      <c r="D15" s="5"/>
      <c r="E15" s="5"/>
      <c r="F15" s="5"/>
      <c r="G15" s="5"/>
      <c r="H15" s="5"/>
      <c r="I15" s="5"/>
      <c r="J15" s="5"/>
    </row>
    <row r="16" customFormat="false" ht="21.75" hidden="false" customHeight="true" outlineLevel="0" collapsed="false">
      <c r="A16" s="6" t="n">
        <v>5</v>
      </c>
      <c r="B16" s="7" t="s">
        <v>39</v>
      </c>
      <c r="C16" s="8" t="s">
        <v>40</v>
      </c>
      <c r="D16" s="6" t="s">
        <v>41</v>
      </c>
      <c r="E16" s="6" t="s">
        <v>42</v>
      </c>
      <c r="F16" s="6" t="n">
        <v>100</v>
      </c>
      <c r="G16" s="9" t="n">
        <v>61</v>
      </c>
      <c r="H16" s="9" t="n">
        <f aca="false">F16*G16</f>
        <v>6100</v>
      </c>
      <c r="I16" s="9" t="n">
        <f aca="false">H16*0.12</f>
        <v>732</v>
      </c>
      <c r="J16" s="9" t="n">
        <f aca="false">H16+I16</f>
        <v>6832</v>
      </c>
    </row>
    <row r="17" customFormat="false" ht="21.75" hidden="false" customHeight="true" outlineLevel="0" collapsed="false">
      <c r="A17" s="10" t="n">
        <v>6</v>
      </c>
      <c r="B17" s="11" t="s">
        <v>39</v>
      </c>
      <c r="C17" s="12" t="s">
        <v>43</v>
      </c>
      <c r="D17" s="10" t="s">
        <v>41</v>
      </c>
      <c r="E17" s="10" t="s">
        <v>42</v>
      </c>
      <c r="F17" s="10" t="n">
        <v>100</v>
      </c>
      <c r="G17" s="13" t="n">
        <v>257</v>
      </c>
      <c r="H17" s="13" t="n">
        <f aca="false">F17*G17</f>
        <v>25700</v>
      </c>
      <c r="I17" s="13" t="n">
        <f aca="false">H17*0.12</f>
        <v>3084</v>
      </c>
      <c r="J17" s="13" t="n">
        <f aca="false">H17+I17</f>
        <v>28784</v>
      </c>
    </row>
    <row r="18" customFormat="false" ht="21.75" hidden="false" customHeight="true" outlineLevel="0" collapsed="false">
      <c r="A18" s="6" t="n">
        <v>7</v>
      </c>
      <c r="B18" s="7" t="s">
        <v>39</v>
      </c>
      <c r="C18" s="8" t="s">
        <v>44</v>
      </c>
      <c r="D18" s="6" t="s">
        <v>41</v>
      </c>
      <c r="E18" s="6" t="s">
        <v>42</v>
      </c>
      <c r="F18" s="6" t="n">
        <v>50</v>
      </c>
      <c r="G18" s="9" t="n">
        <v>162</v>
      </c>
      <c r="H18" s="9" t="n">
        <f aca="false">F18*G18</f>
        <v>8100</v>
      </c>
      <c r="I18" s="9" t="n">
        <f aca="false">H18*0.12</f>
        <v>972</v>
      </c>
      <c r="J18" s="9" t="n">
        <f aca="false">H18+I18</f>
        <v>9072</v>
      </c>
    </row>
    <row r="19" customFormat="false" ht="18" hidden="false" customHeight="true" outlineLevel="0" collapsed="false">
      <c r="A19" s="5" t="s">
        <v>45</v>
      </c>
      <c r="B19" s="5"/>
      <c r="C19" s="5"/>
      <c r="D19" s="5"/>
      <c r="E19" s="5"/>
      <c r="F19" s="5"/>
      <c r="G19" s="5"/>
      <c r="H19" s="5"/>
      <c r="I19" s="5"/>
      <c r="J19" s="5"/>
    </row>
    <row r="20" customFormat="false" ht="21.75" hidden="false" customHeight="true" outlineLevel="0" collapsed="false">
      <c r="A20" s="10" t="n">
        <v>8</v>
      </c>
      <c r="B20" s="11" t="s">
        <v>46</v>
      </c>
      <c r="C20" s="12" t="s">
        <v>46</v>
      </c>
      <c r="D20" s="10" t="s">
        <v>47</v>
      </c>
      <c r="E20" s="10" t="s">
        <v>48</v>
      </c>
      <c r="F20" s="10" t="n">
        <v>0.5</v>
      </c>
      <c r="G20" s="13" t="n">
        <v>18</v>
      </c>
      <c r="H20" s="13" t="n">
        <f aca="false">F20*G20</f>
        <v>9</v>
      </c>
      <c r="I20" s="13" t="n">
        <f aca="false">H20*0.18</f>
        <v>1.62</v>
      </c>
      <c r="J20" s="13" t="n">
        <f aca="false">H20+I20</f>
        <v>10.62</v>
      </c>
    </row>
    <row r="21" customFormat="false" ht="21.75" hidden="false" customHeight="true" outlineLevel="0" collapsed="false">
      <c r="A21" s="6" t="n">
        <v>9</v>
      </c>
      <c r="B21" s="7" t="s">
        <v>46</v>
      </c>
      <c r="C21" s="8" t="s">
        <v>49</v>
      </c>
      <c r="D21" s="6" t="s">
        <v>50</v>
      </c>
      <c r="E21" s="6" t="s">
        <v>51</v>
      </c>
      <c r="F21" s="6" t="n">
        <v>0.15</v>
      </c>
      <c r="G21" s="9" t="n">
        <v>95</v>
      </c>
      <c r="H21" s="9" t="n">
        <f aca="false">F21*G21</f>
        <v>14.25</v>
      </c>
      <c r="I21" s="9" t="n">
        <f aca="false">H21*0.18</f>
        <v>2.565</v>
      </c>
      <c r="J21" s="9" t="n">
        <f aca="false">H21+I21</f>
        <v>16.815</v>
      </c>
    </row>
    <row r="22" customFormat="false" ht="21.75" hidden="false" customHeight="true" outlineLevel="0" collapsed="false">
      <c r="A22" s="10" t="n">
        <v>10</v>
      </c>
      <c r="B22" s="11" t="s">
        <v>46</v>
      </c>
      <c r="C22" s="12" t="s">
        <v>52</v>
      </c>
      <c r="D22" s="10" t="s">
        <v>53</v>
      </c>
      <c r="E22" s="10" t="s">
        <v>48</v>
      </c>
      <c r="F22" s="10" t="n">
        <v>3.75</v>
      </c>
      <c r="G22" s="13" t="n">
        <v>8</v>
      </c>
      <c r="H22" s="13" t="n">
        <f aca="false">F22*G22</f>
        <v>30</v>
      </c>
      <c r="I22" s="13" t="n">
        <f aca="false">H22*0.18</f>
        <v>5.4</v>
      </c>
      <c r="J22" s="13" t="n">
        <f aca="false">H22+I22</f>
        <v>35.4</v>
      </c>
    </row>
    <row r="23" customFormat="false" ht="18" hidden="false" customHeight="true" outlineLevel="0" collapsed="false">
      <c r="A23" s="5" t="s">
        <v>54</v>
      </c>
      <c r="B23" s="5"/>
      <c r="C23" s="5"/>
      <c r="D23" s="5"/>
      <c r="E23" s="5"/>
      <c r="F23" s="5"/>
      <c r="G23" s="5"/>
      <c r="H23" s="5"/>
      <c r="I23" s="5"/>
      <c r="J23" s="5"/>
    </row>
    <row r="24" customFormat="false" ht="21.75" hidden="false" customHeight="true" outlineLevel="0" collapsed="false">
      <c r="A24" s="6" t="n">
        <v>11</v>
      </c>
      <c r="B24" s="7" t="s">
        <v>55</v>
      </c>
      <c r="C24" s="8" t="s">
        <v>130</v>
      </c>
      <c r="D24" s="6" t="s">
        <v>41</v>
      </c>
      <c r="E24" s="6" t="s">
        <v>58</v>
      </c>
      <c r="F24" s="6" t="n">
        <v>1</v>
      </c>
      <c r="G24" s="9" t="n">
        <v>40</v>
      </c>
      <c r="H24" s="9" t="n">
        <f aca="false">F24*G24</f>
        <v>40</v>
      </c>
      <c r="I24" s="9" t="n">
        <f aca="false">H24*0.12</f>
        <v>4.8</v>
      </c>
      <c r="J24" s="9" t="n">
        <f aca="false">H24+I24</f>
        <v>44.8</v>
      </c>
    </row>
    <row r="25" customFormat="false" ht="21.75" hidden="false" customHeight="true" outlineLevel="0" collapsed="false">
      <c r="A25" s="10" t="n">
        <v>12</v>
      </c>
      <c r="B25" s="11" t="s">
        <v>55</v>
      </c>
      <c r="C25" s="12" t="s">
        <v>119</v>
      </c>
      <c r="D25" s="10" t="s">
        <v>41</v>
      </c>
      <c r="E25" s="10" t="s">
        <v>58</v>
      </c>
      <c r="F25" s="10" t="n">
        <v>1</v>
      </c>
      <c r="G25" s="13" t="n">
        <v>8</v>
      </c>
      <c r="H25" s="13" t="n">
        <f aca="false">F25*G25</f>
        <v>8</v>
      </c>
      <c r="I25" s="13" t="n">
        <f aca="false">H25*0.12</f>
        <v>0.96</v>
      </c>
      <c r="J25" s="13" t="n">
        <f aca="false">H25+I25</f>
        <v>8.96</v>
      </c>
    </row>
    <row r="26" customFormat="false" ht="21.75" hidden="false" customHeight="true" outlineLevel="0" collapsed="false">
      <c r="A26" s="6" t="n">
        <v>13</v>
      </c>
      <c r="B26" s="7" t="s">
        <v>55</v>
      </c>
      <c r="C26" s="8" t="s">
        <v>120</v>
      </c>
      <c r="D26" s="6" t="s">
        <v>121</v>
      </c>
      <c r="E26" s="6" t="s">
        <v>58</v>
      </c>
      <c r="F26" s="6" t="n">
        <v>2</v>
      </c>
      <c r="G26" s="9" t="n">
        <v>15</v>
      </c>
      <c r="H26" s="9" t="n">
        <f aca="false">F26*G26</f>
        <v>30</v>
      </c>
      <c r="I26" s="9" t="n">
        <f aca="false">H26*0.12</f>
        <v>3.6</v>
      </c>
      <c r="J26" s="9" t="n">
        <f aca="false">H26+I26</f>
        <v>33.6</v>
      </c>
    </row>
    <row r="27" customFormat="false" ht="21.75" hidden="false" customHeight="true" outlineLevel="0" collapsed="false">
      <c r="A27" s="10" t="n">
        <v>14</v>
      </c>
      <c r="B27" s="11" t="s">
        <v>55</v>
      </c>
      <c r="C27" s="12" t="s">
        <v>122</v>
      </c>
      <c r="D27" s="10" t="s">
        <v>60</v>
      </c>
      <c r="E27" s="10" t="s">
        <v>58</v>
      </c>
      <c r="F27" s="10" t="n">
        <v>2</v>
      </c>
      <c r="G27" s="13" t="n">
        <v>2.5</v>
      </c>
      <c r="H27" s="13" t="n">
        <f aca="false">F27*G27</f>
        <v>5</v>
      </c>
      <c r="I27" s="13" t="n">
        <f aca="false">H27*0.12</f>
        <v>0.6</v>
      </c>
      <c r="J27" s="13" t="n">
        <f aca="false">H27+I27</f>
        <v>5.6</v>
      </c>
    </row>
    <row r="28" customFormat="false" ht="21.75" hidden="false" customHeight="true" outlineLevel="0" collapsed="false">
      <c r="A28" s="6" t="n">
        <v>15</v>
      </c>
      <c r="B28" s="7" t="s">
        <v>55</v>
      </c>
      <c r="C28" s="8" t="s">
        <v>123</v>
      </c>
      <c r="D28" s="6" t="s">
        <v>41</v>
      </c>
      <c r="E28" s="6" t="s">
        <v>58</v>
      </c>
      <c r="F28" s="6" t="n">
        <v>1</v>
      </c>
      <c r="G28" s="9" t="n">
        <v>10</v>
      </c>
      <c r="H28" s="9" t="n">
        <f aca="false">F28*G28</f>
        <v>10</v>
      </c>
      <c r="I28" s="9" t="n">
        <f aca="false">H28*0.12</f>
        <v>1.2</v>
      </c>
      <c r="J28" s="9" t="n">
        <f aca="false">H28+I28</f>
        <v>11.2</v>
      </c>
    </row>
    <row r="29" customFormat="false" ht="21.75" hidden="false" customHeight="true" outlineLevel="0" collapsed="false">
      <c r="A29" s="10" t="n">
        <v>16</v>
      </c>
      <c r="B29" s="11" t="s">
        <v>55</v>
      </c>
      <c r="C29" s="12" t="s">
        <v>124</v>
      </c>
      <c r="D29" s="10" t="s">
        <v>50</v>
      </c>
      <c r="E29" s="10" t="s">
        <v>58</v>
      </c>
      <c r="F29" s="10" t="n">
        <v>1</v>
      </c>
      <c r="G29" s="13" t="n">
        <v>2</v>
      </c>
      <c r="H29" s="13" t="n">
        <f aca="false">F29*G29</f>
        <v>2</v>
      </c>
      <c r="I29" s="13" t="n">
        <f aca="false">H29*0.12</f>
        <v>0.24</v>
      </c>
      <c r="J29" s="13" t="n">
        <f aca="false">H29+I29</f>
        <v>2.24</v>
      </c>
    </row>
    <row r="30" customFormat="false" ht="21.75" hidden="false" customHeight="true" outlineLevel="0" collapsed="false">
      <c r="A30" s="6" t="n">
        <v>17</v>
      </c>
      <c r="B30" s="7" t="s">
        <v>55</v>
      </c>
      <c r="C30" s="8" t="s">
        <v>131</v>
      </c>
      <c r="D30" s="6" t="s">
        <v>50</v>
      </c>
      <c r="E30" s="6" t="s">
        <v>58</v>
      </c>
      <c r="F30" s="6" t="n">
        <v>1</v>
      </c>
      <c r="G30" s="9" t="n">
        <v>1</v>
      </c>
      <c r="H30" s="9" t="n">
        <f aca="false">F30*G30</f>
        <v>1</v>
      </c>
      <c r="I30" s="9" t="n">
        <f aca="false">H30*0.12</f>
        <v>0.12</v>
      </c>
      <c r="J30" s="9" t="n">
        <f aca="false">H30+I30</f>
        <v>1.12</v>
      </c>
    </row>
    <row r="31" customFormat="false" ht="18" hidden="false" customHeight="true" outlineLevel="0" collapsed="false">
      <c r="A31" s="5" t="s">
        <v>65</v>
      </c>
      <c r="B31" s="5"/>
      <c r="C31" s="5"/>
      <c r="D31" s="5"/>
      <c r="E31" s="5"/>
      <c r="F31" s="5"/>
      <c r="G31" s="5"/>
      <c r="H31" s="5"/>
      <c r="I31" s="5"/>
      <c r="J31" s="5"/>
    </row>
    <row r="32" customFormat="false" ht="21.75" hidden="false" customHeight="true" outlineLevel="0" collapsed="false">
      <c r="A32" s="10" t="n">
        <v>18</v>
      </c>
      <c r="B32" s="11" t="s">
        <v>66</v>
      </c>
      <c r="C32" s="12" t="s">
        <v>110</v>
      </c>
      <c r="D32" s="10" t="s">
        <v>50</v>
      </c>
      <c r="E32" s="10" t="s">
        <v>58</v>
      </c>
      <c r="F32" s="10" t="n">
        <v>1</v>
      </c>
      <c r="G32" s="13" t="n">
        <v>30</v>
      </c>
      <c r="H32" s="13" t="n">
        <f aca="false">F32*G32</f>
        <v>30</v>
      </c>
      <c r="I32" s="13" t="n">
        <f aca="false">H32*0.12</f>
        <v>3.6</v>
      </c>
      <c r="J32" s="13" t="n">
        <f aca="false">H32+I32</f>
        <v>33.6</v>
      </c>
    </row>
    <row r="33" customFormat="false" ht="21.75" hidden="false" customHeight="true" outlineLevel="0" collapsed="false">
      <c r="A33" s="6" t="n">
        <v>19</v>
      </c>
      <c r="B33" s="7" t="s">
        <v>66</v>
      </c>
      <c r="C33" s="8" t="s">
        <v>68</v>
      </c>
      <c r="D33" s="6" t="s">
        <v>50</v>
      </c>
      <c r="E33" s="6" t="s">
        <v>58</v>
      </c>
      <c r="F33" s="6" t="n">
        <v>1</v>
      </c>
      <c r="G33" s="9" t="n">
        <v>0</v>
      </c>
      <c r="H33" s="9" t="n">
        <f aca="false">F33*G33</f>
        <v>0</v>
      </c>
      <c r="I33" s="9" t="n">
        <f aca="false">H33*0.12</f>
        <v>0</v>
      </c>
      <c r="J33" s="9" t="n">
        <f aca="false">H33+I33</f>
        <v>0</v>
      </c>
    </row>
    <row r="34" customFormat="false" ht="21.75" hidden="false" customHeight="true" outlineLevel="0" collapsed="false">
      <c r="A34" s="10" t="n">
        <v>20</v>
      </c>
      <c r="B34" s="11" t="s">
        <v>66</v>
      </c>
      <c r="C34" s="12" t="s">
        <v>69</v>
      </c>
      <c r="D34" s="10" t="s">
        <v>50</v>
      </c>
      <c r="E34" s="10" t="s">
        <v>58</v>
      </c>
      <c r="F34" s="10" t="n">
        <v>1</v>
      </c>
      <c r="G34" s="13" t="n">
        <v>3.5</v>
      </c>
      <c r="H34" s="13" t="n">
        <f aca="false">F34*G34</f>
        <v>3.5</v>
      </c>
      <c r="I34" s="13" t="n">
        <f aca="false">H34*0.12</f>
        <v>0.42</v>
      </c>
      <c r="J34" s="13" t="n">
        <f aca="false">H34+I34</f>
        <v>3.92</v>
      </c>
    </row>
    <row r="35" customFormat="false" ht="21.75" hidden="false" customHeight="true" outlineLevel="0" collapsed="false">
      <c r="A35" s="6" t="n">
        <v>21</v>
      </c>
      <c r="B35" s="7" t="s">
        <v>66</v>
      </c>
      <c r="C35" s="8" t="s">
        <v>70</v>
      </c>
      <c r="D35" s="6" t="s">
        <v>50</v>
      </c>
      <c r="E35" s="6" t="s">
        <v>58</v>
      </c>
      <c r="F35" s="6" t="n">
        <v>1</v>
      </c>
      <c r="G35" s="9" t="n">
        <v>3.5</v>
      </c>
      <c r="H35" s="9" t="n">
        <f aca="false">F35*G35</f>
        <v>3.5</v>
      </c>
      <c r="I35" s="9" t="n">
        <f aca="false">H35*0.12</f>
        <v>0.42</v>
      </c>
      <c r="J35" s="9" t="n">
        <f aca="false">H35+I35</f>
        <v>3.92</v>
      </c>
    </row>
    <row r="36" customFormat="false" ht="18" hidden="false" customHeight="true" outlineLevel="0" collapsed="false">
      <c r="A36" s="5" t="s">
        <v>71</v>
      </c>
      <c r="B36" s="5"/>
      <c r="C36" s="5"/>
      <c r="D36" s="5"/>
      <c r="E36" s="5"/>
      <c r="F36" s="5"/>
      <c r="G36" s="5"/>
      <c r="H36" s="5"/>
      <c r="I36" s="5"/>
      <c r="J36" s="5"/>
    </row>
    <row r="37" customFormat="false" ht="21.75" hidden="false" customHeight="true" outlineLevel="0" collapsed="false">
      <c r="A37" s="10" t="n">
        <v>22</v>
      </c>
      <c r="B37" s="11" t="s">
        <v>72</v>
      </c>
      <c r="C37" s="12" t="s">
        <v>73</v>
      </c>
      <c r="D37" s="10" t="s">
        <v>50</v>
      </c>
      <c r="E37" s="10" t="s">
        <v>58</v>
      </c>
      <c r="F37" s="10" t="n">
        <v>1</v>
      </c>
      <c r="G37" s="13" t="n">
        <v>5</v>
      </c>
      <c r="H37" s="13" t="n">
        <f aca="false">F37*G37</f>
        <v>5</v>
      </c>
      <c r="I37" s="13" t="n">
        <f aca="false">H37*0.18</f>
        <v>0.9</v>
      </c>
      <c r="J37" s="13" t="n">
        <f aca="false">H37+I37</f>
        <v>5.9</v>
      </c>
    </row>
    <row r="38" customFormat="false" ht="21.75" hidden="false" customHeight="true" outlineLevel="0" collapsed="false">
      <c r="A38" s="6" t="n">
        <v>23</v>
      </c>
      <c r="B38" s="7" t="s">
        <v>72</v>
      </c>
      <c r="C38" s="8" t="s">
        <v>74</v>
      </c>
      <c r="D38" s="6" t="s">
        <v>50</v>
      </c>
      <c r="E38" s="6" t="s">
        <v>58</v>
      </c>
      <c r="F38" s="6" t="n">
        <v>1</v>
      </c>
      <c r="G38" s="9" t="n">
        <v>5</v>
      </c>
      <c r="H38" s="9" t="n">
        <f aca="false">F38*G38</f>
        <v>5</v>
      </c>
      <c r="I38" s="9" t="n">
        <f aca="false">H38*0.18</f>
        <v>0.9</v>
      </c>
      <c r="J38" s="9" t="n">
        <f aca="false">H38+I38</f>
        <v>5.9</v>
      </c>
    </row>
    <row r="39" customFormat="false" ht="21.75" hidden="false" customHeight="true" outlineLevel="0" collapsed="false">
      <c r="A39" s="10" t="n">
        <v>24</v>
      </c>
      <c r="B39" s="11" t="s">
        <v>72</v>
      </c>
      <c r="C39" s="12" t="s">
        <v>75</v>
      </c>
      <c r="D39" s="10" t="s">
        <v>50</v>
      </c>
      <c r="E39" s="10" t="s">
        <v>76</v>
      </c>
      <c r="F39" s="10" t="n">
        <v>1</v>
      </c>
      <c r="G39" s="13" t="n">
        <v>12</v>
      </c>
      <c r="H39" s="13" t="n">
        <f aca="false">F39*G39</f>
        <v>12</v>
      </c>
      <c r="I39" s="13" t="n">
        <f aca="false">H39*0.18</f>
        <v>2.16</v>
      </c>
      <c r="J39" s="13" t="n">
        <f aca="false">H39+I39</f>
        <v>14.16</v>
      </c>
    </row>
    <row r="40" customFormat="false" ht="21.75" hidden="false" customHeight="true" outlineLevel="0" collapsed="false">
      <c r="A40" s="6" t="n">
        <v>25</v>
      </c>
      <c r="B40" s="7" t="s">
        <v>72</v>
      </c>
      <c r="C40" s="8" t="s">
        <v>77</v>
      </c>
      <c r="D40" s="6" t="s">
        <v>50</v>
      </c>
      <c r="E40" s="6" t="s">
        <v>76</v>
      </c>
      <c r="F40" s="6" t="n">
        <v>0.2</v>
      </c>
      <c r="G40" s="9" t="n">
        <v>115</v>
      </c>
      <c r="H40" s="9" t="n">
        <f aca="false">F40*G40</f>
        <v>23</v>
      </c>
      <c r="I40" s="9" t="n">
        <f aca="false">H40*0.18</f>
        <v>4.14</v>
      </c>
      <c r="J40" s="9" t="n">
        <f aca="false">H40+I40</f>
        <v>27.14</v>
      </c>
    </row>
    <row r="41" customFormat="false" ht="21.75" hidden="false" customHeight="true" outlineLevel="0" collapsed="false">
      <c r="A41" s="10" t="n">
        <v>26</v>
      </c>
      <c r="B41" s="11" t="s">
        <v>72</v>
      </c>
      <c r="C41" s="12" t="s">
        <v>78</v>
      </c>
      <c r="D41" s="10" t="s">
        <v>50</v>
      </c>
      <c r="E41" s="10" t="s">
        <v>79</v>
      </c>
      <c r="F41" s="10" t="n">
        <v>2</v>
      </c>
      <c r="G41" s="13" t="n">
        <v>1.35</v>
      </c>
      <c r="H41" s="13" t="n">
        <f aca="false">F41*G41</f>
        <v>2.7</v>
      </c>
      <c r="I41" s="13" t="n">
        <f aca="false">H41*0.18</f>
        <v>0.486</v>
      </c>
      <c r="J41" s="13" t="n">
        <f aca="false">H41+I41</f>
        <v>3.186</v>
      </c>
    </row>
    <row r="42" customFormat="false" ht="21.75" hidden="false" customHeight="true" outlineLevel="0" collapsed="false">
      <c r="A42" s="6" t="n">
        <v>27</v>
      </c>
      <c r="B42" s="7" t="s">
        <v>72</v>
      </c>
      <c r="C42" s="8" t="s">
        <v>80</v>
      </c>
      <c r="D42" s="6" t="s">
        <v>50</v>
      </c>
      <c r="E42" s="6" t="s">
        <v>58</v>
      </c>
      <c r="F42" s="6" t="n">
        <v>0.07</v>
      </c>
      <c r="G42" s="9" t="n">
        <v>168</v>
      </c>
      <c r="H42" s="9" t="n">
        <f aca="false">F42*G42</f>
        <v>11.76</v>
      </c>
      <c r="I42" s="9" t="n">
        <f aca="false">H42*0.18</f>
        <v>2.1168</v>
      </c>
      <c r="J42" s="9" t="n">
        <f aca="false">H42+I42</f>
        <v>13.8768</v>
      </c>
    </row>
    <row r="43" customFormat="false" ht="21.75" hidden="false" customHeight="true" outlineLevel="0" collapsed="false">
      <c r="A43" s="10" t="n">
        <v>28</v>
      </c>
      <c r="B43" s="11" t="s">
        <v>72</v>
      </c>
      <c r="C43" s="12" t="s">
        <v>81</v>
      </c>
      <c r="D43" s="10" t="s">
        <v>82</v>
      </c>
      <c r="E43" s="10" t="s">
        <v>83</v>
      </c>
      <c r="F43" s="10" t="n">
        <v>0.1</v>
      </c>
      <c r="G43" s="13" t="n">
        <v>54</v>
      </c>
      <c r="H43" s="13" t="n">
        <f aca="false">F43*G43</f>
        <v>5.4</v>
      </c>
      <c r="I43" s="13" t="n">
        <f aca="false">H43*0.18</f>
        <v>0.972</v>
      </c>
      <c r="J43" s="13" t="n">
        <f aca="false">H43+I43</f>
        <v>6.372</v>
      </c>
    </row>
    <row r="44" customFormat="false" ht="18" hidden="false" customHeight="true" outlineLevel="0" collapsed="false">
      <c r="A44" s="5" t="s">
        <v>84</v>
      </c>
      <c r="B44" s="5"/>
      <c r="C44" s="5"/>
      <c r="D44" s="5"/>
      <c r="E44" s="5"/>
      <c r="F44" s="5"/>
      <c r="G44" s="5"/>
      <c r="H44" s="5"/>
      <c r="I44" s="5"/>
      <c r="J44" s="5"/>
    </row>
    <row r="45" customFormat="false" ht="21.75" hidden="false" customHeight="true" outlineLevel="0" collapsed="false">
      <c r="A45" s="6" t="n">
        <v>29</v>
      </c>
      <c r="B45" s="7" t="s">
        <v>85</v>
      </c>
      <c r="C45" s="8" t="s">
        <v>86</v>
      </c>
      <c r="D45" s="6" t="s">
        <v>87</v>
      </c>
      <c r="E45" s="6" t="s">
        <v>58</v>
      </c>
      <c r="F45" s="6" t="n">
        <v>1</v>
      </c>
      <c r="G45" s="9" t="n">
        <v>1000</v>
      </c>
      <c r="H45" s="9" t="n">
        <f aca="false">F45*G45</f>
        <v>1000</v>
      </c>
      <c r="I45" s="9" t="n">
        <f aca="false">H45*0</f>
        <v>0</v>
      </c>
      <c r="J45" s="9" t="n">
        <f aca="false">H45+I45</f>
        <v>1000</v>
      </c>
    </row>
    <row r="46" customFormat="false" ht="21.75" hidden="false" customHeight="true" outlineLevel="0" collapsed="false">
      <c r="A46" s="10" t="n">
        <v>30</v>
      </c>
      <c r="B46" s="11" t="s">
        <v>88</v>
      </c>
      <c r="C46" s="12" t="s">
        <v>89</v>
      </c>
      <c r="D46" s="10" t="s">
        <v>87</v>
      </c>
      <c r="E46" s="10" t="s">
        <v>58</v>
      </c>
      <c r="F46" s="10" t="n">
        <v>1</v>
      </c>
      <c r="G46" s="13" t="n">
        <v>450</v>
      </c>
      <c r="H46" s="13" t="n">
        <f aca="false">F46*G46</f>
        <v>450</v>
      </c>
      <c r="I46" s="13" t="n">
        <f aca="false">H46*0</f>
        <v>0</v>
      </c>
      <c r="J46" s="13" t="n">
        <f aca="false">H46+I46</f>
        <v>450</v>
      </c>
    </row>
    <row r="48" customFormat="false" ht="21.75" hidden="false" customHeight="true" outlineLevel="0" collapsed="false">
      <c r="A48" s="14" t="s">
        <v>90</v>
      </c>
      <c r="B48" s="14"/>
      <c r="C48" s="14"/>
      <c r="D48" s="14"/>
      <c r="E48" s="14"/>
      <c r="F48" s="14"/>
      <c r="G48" s="14"/>
      <c r="H48" s="15" t="n">
        <f aca="false">H10+H12+H13+H14+H16+H17+H18+H20+H21+H22+H24+H25+H26+H27+H28+H29+H30+H32+H33+H34+H35+H37+H38+H39+H40+H41+H42+H43+H45+H46</f>
        <v>45869.86</v>
      </c>
      <c r="I48" s="15" t="n">
        <f aca="false">I10+I12+I13+I14+I16+I17+I18+I20+I21+I22+I24+I25+I26+I27+I28+I29+I30+I32+I33+I34+I35+I37+I38+I39+I40+I41+I42+I43+I45+I46</f>
        <v>5048.7198</v>
      </c>
      <c r="J48" s="15" t="n">
        <f aca="false">J10+J12+J13+J14+J16+J17+J18+J20+J21+J22+J24+J25+J26+J27+J28+J29+J30+J32+J33+J34+J35+J37+J38+J39+J40+J41+J42+J43+J45+J46</f>
        <v>50918.5798</v>
      </c>
    </row>
    <row r="49" customFormat="false" ht="18" hidden="false" customHeight="true" outlineLevel="0" collapsed="false">
      <c r="A49" s="16" t="s">
        <v>91</v>
      </c>
      <c r="B49" s="16"/>
      <c r="C49" s="16"/>
      <c r="D49" s="16"/>
      <c r="E49" s="16"/>
      <c r="F49" s="16"/>
      <c r="G49" s="16"/>
      <c r="H49" s="17"/>
      <c r="I49" s="17"/>
      <c r="J49" s="17"/>
    </row>
    <row r="51" customFormat="false" ht="39.75" hidden="false" customHeight="true" outlineLevel="0" collapsed="false">
      <c r="A51" s="18" t="s">
        <v>132</v>
      </c>
      <c r="B51" s="18"/>
      <c r="C51" s="18"/>
      <c r="D51" s="18"/>
      <c r="E51" s="18"/>
      <c r="F51" s="18"/>
      <c r="G51" s="18"/>
      <c r="H51" s="18"/>
      <c r="I51" s="18"/>
      <c r="J51" s="18"/>
    </row>
  </sheetData>
  <mergeCells count="32">
    <mergeCell ref="A1:J1"/>
    <mergeCell ref="A2:B2"/>
    <mergeCell ref="C2:E2"/>
    <mergeCell ref="F2:G2"/>
    <mergeCell ref="H2:J2"/>
    <mergeCell ref="A3:B3"/>
    <mergeCell ref="C3:E3"/>
    <mergeCell ref="F3:G3"/>
    <mergeCell ref="H3:J3"/>
    <mergeCell ref="A4:B4"/>
    <mergeCell ref="C4:E4"/>
    <mergeCell ref="F4:G4"/>
    <mergeCell ref="H4:J4"/>
    <mergeCell ref="A5:B5"/>
    <mergeCell ref="C5:E5"/>
    <mergeCell ref="F5:G5"/>
    <mergeCell ref="H5:J5"/>
    <mergeCell ref="A6:B6"/>
    <mergeCell ref="C6:E6"/>
    <mergeCell ref="F6:G6"/>
    <mergeCell ref="H6:J6"/>
    <mergeCell ref="A9:J9"/>
    <mergeCell ref="A11:J11"/>
    <mergeCell ref="A15:J15"/>
    <mergeCell ref="A19:J19"/>
    <mergeCell ref="A23:J23"/>
    <mergeCell ref="A31:J31"/>
    <mergeCell ref="A36:J36"/>
    <mergeCell ref="A44:J44"/>
    <mergeCell ref="A48:G48"/>
    <mergeCell ref="A49:G49"/>
    <mergeCell ref="A51:J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6.5" hidden="false" customHeight="true" outlineLevel="0" collapsed="false">
      <c r="A2" s="2" t="s">
        <v>1</v>
      </c>
      <c r="B2" s="2"/>
      <c r="C2" s="3" t="s">
        <v>2</v>
      </c>
      <c r="D2" s="3"/>
      <c r="E2" s="3"/>
      <c r="F2" s="2" t="s">
        <v>3</v>
      </c>
      <c r="G2" s="2"/>
      <c r="H2" s="3" t="s">
        <v>4</v>
      </c>
      <c r="I2" s="3"/>
      <c r="J2" s="3"/>
    </row>
    <row r="3" customFormat="false" ht="16.5" hidden="false" customHeight="true" outlineLevel="0" collapsed="false">
      <c r="A3" s="2" t="s">
        <v>5</v>
      </c>
      <c r="B3" s="2"/>
      <c r="C3" s="3" t="s">
        <v>6</v>
      </c>
      <c r="D3" s="3"/>
      <c r="E3" s="3"/>
      <c r="F3" s="2" t="s">
        <v>7</v>
      </c>
      <c r="G3" s="2"/>
      <c r="H3" s="3" t="s">
        <v>8</v>
      </c>
      <c r="I3" s="3"/>
      <c r="J3" s="3"/>
    </row>
    <row r="4" customFormat="false" ht="16.5" hidden="false" customHeight="true" outlineLevel="0" collapsed="false">
      <c r="A4" s="2" t="s">
        <v>9</v>
      </c>
      <c r="B4" s="2"/>
      <c r="C4" s="3" t="s">
        <v>133</v>
      </c>
      <c r="D4" s="3"/>
      <c r="E4" s="3"/>
      <c r="F4" s="2" t="s">
        <v>11</v>
      </c>
      <c r="G4" s="2"/>
      <c r="H4" s="3" t="s">
        <v>127</v>
      </c>
      <c r="I4" s="3"/>
      <c r="J4" s="3"/>
    </row>
    <row r="5" customFormat="false" ht="16.5" hidden="false" customHeight="true" outlineLevel="0" collapsed="false">
      <c r="A5" s="2" t="s">
        <v>13</v>
      </c>
      <c r="B5" s="2"/>
      <c r="C5" s="3" t="s">
        <v>128</v>
      </c>
      <c r="D5" s="3"/>
      <c r="E5" s="3"/>
      <c r="F5" s="2" t="s">
        <v>15</v>
      </c>
      <c r="G5" s="2"/>
      <c r="H5" s="3" t="s">
        <v>134</v>
      </c>
      <c r="I5" s="3"/>
      <c r="J5" s="3"/>
    </row>
    <row r="6" customFormat="false" ht="16.5" hidden="false" customHeight="true" outlineLevel="0" collapsed="false">
      <c r="A6" s="2" t="s">
        <v>17</v>
      </c>
      <c r="B6" s="2"/>
      <c r="C6" s="3" t="s">
        <v>18</v>
      </c>
      <c r="D6" s="3"/>
      <c r="E6" s="3"/>
      <c r="F6" s="2" t="s">
        <v>19</v>
      </c>
      <c r="G6" s="2"/>
      <c r="H6" s="3" t="s">
        <v>20</v>
      </c>
      <c r="I6" s="3"/>
      <c r="J6" s="3"/>
    </row>
    <row r="8" customFormat="false" ht="27.75" hidden="false" customHeight="true" outlineLevel="0" collapsed="false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27</v>
      </c>
      <c r="H8" s="4" t="s">
        <v>28</v>
      </c>
      <c r="I8" s="4" t="s">
        <v>29</v>
      </c>
      <c r="J8" s="4" t="s">
        <v>30</v>
      </c>
    </row>
    <row r="9" customFormat="false" ht="18" hidden="false" customHeight="true" outlineLevel="0" collapsed="false">
      <c r="A9" s="5" t="s">
        <v>31</v>
      </c>
      <c r="B9" s="5"/>
      <c r="C9" s="5"/>
      <c r="D9" s="5"/>
      <c r="E9" s="5"/>
      <c r="F9" s="5"/>
      <c r="G9" s="5"/>
      <c r="H9" s="5"/>
      <c r="I9" s="5"/>
      <c r="J9" s="5"/>
    </row>
    <row r="10" customFormat="false" ht="21.75" hidden="false" customHeight="true" outlineLevel="0" collapsed="false">
      <c r="A10" s="6" t="n">
        <v>1</v>
      </c>
      <c r="B10" s="7" t="s">
        <v>32</v>
      </c>
      <c r="C10" s="8" t="s">
        <v>128</v>
      </c>
      <c r="D10" s="6" t="s">
        <v>127</v>
      </c>
      <c r="E10" s="6" t="s">
        <v>33</v>
      </c>
      <c r="F10" s="6" t="n">
        <v>341</v>
      </c>
      <c r="G10" s="9" t="n">
        <v>12</v>
      </c>
      <c r="H10" s="9" t="n">
        <f aca="false">F10*G10</f>
        <v>4092</v>
      </c>
      <c r="I10" s="9" t="n">
        <f aca="false">H10*0.05</f>
        <v>204.6</v>
      </c>
      <c r="J10" s="9" t="n">
        <f aca="false">H10+I10</f>
        <v>4296.6</v>
      </c>
    </row>
    <row r="11" customFormat="false" ht="18" hidden="false" customHeight="true" outlineLevel="0" collapsed="false">
      <c r="A11" s="5" t="s">
        <v>34</v>
      </c>
      <c r="B11" s="5"/>
      <c r="C11" s="5"/>
      <c r="D11" s="5"/>
      <c r="E11" s="5"/>
      <c r="F11" s="5"/>
      <c r="G11" s="5"/>
      <c r="H11" s="5"/>
      <c r="I11" s="5"/>
      <c r="J11" s="5"/>
    </row>
    <row r="12" customFormat="false" ht="21.75" hidden="false" customHeight="true" outlineLevel="0" collapsed="false">
      <c r="A12" s="10" t="n">
        <v>2</v>
      </c>
      <c r="B12" s="11" t="s">
        <v>35</v>
      </c>
      <c r="C12" s="12" t="s">
        <v>135</v>
      </c>
      <c r="D12" s="10" t="s">
        <v>41</v>
      </c>
      <c r="E12" s="10" t="s">
        <v>37</v>
      </c>
      <c r="F12" s="10" t="n">
        <v>1.2</v>
      </c>
      <c r="G12" s="13" t="n">
        <v>55</v>
      </c>
      <c r="H12" s="13" t="n">
        <f aca="false">F12*G12</f>
        <v>66</v>
      </c>
      <c r="I12" s="13" t="n">
        <f aca="false">H12*0.12</f>
        <v>7.92</v>
      </c>
      <c r="J12" s="13" t="n">
        <f aca="false">H12+I12</f>
        <v>73.92</v>
      </c>
    </row>
    <row r="13" customFormat="false" ht="18" hidden="false" customHeight="true" outlineLevel="0" collapsed="false">
      <c r="A13" s="5" t="s">
        <v>38</v>
      </c>
      <c r="B13" s="5"/>
      <c r="C13" s="5"/>
      <c r="D13" s="5"/>
      <c r="E13" s="5"/>
      <c r="F13" s="5"/>
      <c r="G13" s="5"/>
      <c r="H13" s="5"/>
      <c r="I13" s="5"/>
      <c r="J13" s="5"/>
    </row>
    <row r="14" customFormat="false" ht="21.75" hidden="false" customHeight="true" outlineLevel="0" collapsed="false">
      <c r="A14" s="6" t="n">
        <v>3</v>
      </c>
      <c r="B14" s="7" t="s">
        <v>39</v>
      </c>
      <c r="C14" s="8" t="s">
        <v>40</v>
      </c>
      <c r="D14" s="6" t="s">
        <v>41</v>
      </c>
      <c r="E14" s="6" t="s">
        <v>42</v>
      </c>
      <c r="F14" s="6" t="n">
        <v>100</v>
      </c>
      <c r="G14" s="9" t="n">
        <v>61</v>
      </c>
      <c r="H14" s="9" t="n">
        <f aca="false">F14*G14</f>
        <v>6100</v>
      </c>
      <c r="I14" s="9" t="n">
        <f aca="false">H14*0.12</f>
        <v>732</v>
      </c>
      <c r="J14" s="9" t="n">
        <f aca="false">H14+I14</f>
        <v>6832</v>
      </c>
    </row>
    <row r="15" customFormat="false" ht="21.75" hidden="false" customHeight="true" outlineLevel="0" collapsed="false">
      <c r="A15" s="10" t="n">
        <v>4</v>
      </c>
      <c r="B15" s="11" t="s">
        <v>39</v>
      </c>
      <c r="C15" s="12" t="s">
        <v>43</v>
      </c>
      <c r="D15" s="10" t="s">
        <v>41</v>
      </c>
      <c r="E15" s="10" t="s">
        <v>42</v>
      </c>
      <c r="F15" s="10" t="n">
        <v>100</v>
      </c>
      <c r="G15" s="13" t="n">
        <v>257</v>
      </c>
      <c r="H15" s="13" t="n">
        <f aca="false">F15*G15</f>
        <v>25700</v>
      </c>
      <c r="I15" s="13" t="n">
        <f aca="false">H15*0.12</f>
        <v>3084</v>
      </c>
      <c r="J15" s="13" t="n">
        <f aca="false">H15+I15</f>
        <v>28784</v>
      </c>
    </row>
    <row r="16" customFormat="false" ht="21.75" hidden="false" customHeight="true" outlineLevel="0" collapsed="false">
      <c r="A16" s="6" t="n">
        <v>5</v>
      </c>
      <c r="B16" s="7" t="s">
        <v>39</v>
      </c>
      <c r="C16" s="8" t="s">
        <v>44</v>
      </c>
      <c r="D16" s="6" t="s">
        <v>41</v>
      </c>
      <c r="E16" s="6" t="s">
        <v>42</v>
      </c>
      <c r="F16" s="6" t="n">
        <v>50</v>
      </c>
      <c r="G16" s="9" t="n">
        <v>162</v>
      </c>
      <c r="H16" s="9" t="n">
        <f aca="false">F16*G16</f>
        <v>8100</v>
      </c>
      <c r="I16" s="9" t="n">
        <f aca="false">H16*0.12</f>
        <v>972</v>
      </c>
      <c r="J16" s="9" t="n">
        <f aca="false">H16+I16</f>
        <v>9072</v>
      </c>
    </row>
    <row r="17" customFormat="false" ht="18" hidden="false" customHeight="true" outlineLevel="0" collapsed="false">
      <c r="A17" s="5" t="s">
        <v>45</v>
      </c>
      <c r="B17" s="5"/>
      <c r="C17" s="5"/>
      <c r="D17" s="5"/>
      <c r="E17" s="5"/>
      <c r="F17" s="5"/>
      <c r="G17" s="5"/>
      <c r="H17" s="5"/>
      <c r="I17" s="5"/>
      <c r="J17" s="5"/>
    </row>
    <row r="18" customFormat="false" ht="21.75" hidden="false" customHeight="true" outlineLevel="0" collapsed="false">
      <c r="A18" s="10" t="n">
        <v>6</v>
      </c>
      <c r="B18" s="11" t="s">
        <v>46</v>
      </c>
      <c r="C18" s="12" t="s">
        <v>46</v>
      </c>
      <c r="D18" s="10" t="s">
        <v>47</v>
      </c>
      <c r="E18" s="10" t="s">
        <v>48</v>
      </c>
      <c r="F18" s="10" t="n">
        <v>0.5</v>
      </c>
      <c r="G18" s="13" t="n">
        <v>18</v>
      </c>
      <c r="H18" s="13" t="n">
        <f aca="false">F18*G18</f>
        <v>9</v>
      </c>
      <c r="I18" s="13" t="n">
        <f aca="false">H18*0.18</f>
        <v>1.62</v>
      </c>
      <c r="J18" s="13" t="n">
        <f aca="false">H18+I18</f>
        <v>10.62</v>
      </c>
    </row>
    <row r="19" customFormat="false" ht="21.75" hidden="false" customHeight="true" outlineLevel="0" collapsed="false">
      <c r="A19" s="6" t="n">
        <v>7</v>
      </c>
      <c r="B19" s="7" t="s">
        <v>46</v>
      </c>
      <c r="C19" s="8" t="s">
        <v>49</v>
      </c>
      <c r="D19" s="6" t="s">
        <v>50</v>
      </c>
      <c r="E19" s="6" t="s">
        <v>51</v>
      </c>
      <c r="F19" s="6" t="n">
        <v>0.15</v>
      </c>
      <c r="G19" s="9" t="n">
        <v>95</v>
      </c>
      <c r="H19" s="9" t="n">
        <f aca="false">F19*G19</f>
        <v>14.25</v>
      </c>
      <c r="I19" s="9" t="n">
        <f aca="false">H19*0.18</f>
        <v>2.565</v>
      </c>
      <c r="J19" s="9" t="n">
        <f aca="false">H19+I19</f>
        <v>16.815</v>
      </c>
    </row>
    <row r="20" customFormat="false" ht="21.75" hidden="false" customHeight="true" outlineLevel="0" collapsed="false">
      <c r="A20" s="10" t="n">
        <v>8</v>
      </c>
      <c r="B20" s="11" t="s">
        <v>46</v>
      </c>
      <c r="C20" s="12" t="s">
        <v>52</v>
      </c>
      <c r="D20" s="10" t="s">
        <v>53</v>
      </c>
      <c r="E20" s="10" t="s">
        <v>48</v>
      </c>
      <c r="F20" s="10" t="n">
        <v>3.75</v>
      </c>
      <c r="G20" s="13" t="n">
        <v>8</v>
      </c>
      <c r="H20" s="13" t="n">
        <f aca="false">F20*G20</f>
        <v>30</v>
      </c>
      <c r="I20" s="13" t="n">
        <f aca="false">H20*0.18</f>
        <v>5.4</v>
      </c>
      <c r="J20" s="13" t="n">
        <f aca="false">H20+I20</f>
        <v>35.4</v>
      </c>
    </row>
    <row r="21" customFormat="false" ht="18" hidden="false" customHeight="true" outlineLevel="0" collapsed="false">
      <c r="A21" s="5" t="s">
        <v>54</v>
      </c>
      <c r="B21" s="5"/>
      <c r="C21" s="5"/>
      <c r="D21" s="5"/>
      <c r="E21" s="5"/>
      <c r="F21" s="5"/>
      <c r="G21" s="5"/>
      <c r="H21" s="5"/>
      <c r="I21" s="5"/>
      <c r="J21" s="5"/>
    </row>
    <row r="22" customFormat="false" ht="21.75" hidden="false" customHeight="true" outlineLevel="0" collapsed="false">
      <c r="A22" s="6" t="n">
        <v>9</v>
      </c>
      <c r="B22" s="7" t="s">
        <v>55</v>
      </c>
      <c r="C22" s="8" t="s">
        <v>136</v>
      </c>
      <c r="D22" s="6" t="s">
        <v>41</v>
      </c>
      <c r="E22" s="6" t="s">
        <v>58</v>
      </c>
      <c r="F22" s="6" t="n">
        <v>1</v>
      </c>
      <c r="G22" s="9" t="n">
        <v>130</v>
      </c>
      <c r="H22" s="9" t="n">
        <f aca="false">F22*G22</f>
        <v>130</v>
      </c>
      <c r="I22" s="9" t="n">
        <f aca="false">H22*0.12</f>
        <v>15.6</v>
      </c>
      <c r="J22" s="9" t="n">
        <f aca="false">H22+I22</f>
        <v>145.6</v>
      </c>
    </row>
    <row r="23" customFormat="false" ht="21.75" hidden="false" customHeight="true" outlineLevel="0" collapsed="false">
      <c r="A23" s="10" t="n">
        <v>10</v>
      </c>
      <c r="B23" s="11" t="s">
        <v>55</v>
      </c>
      <c r="C23" s="12" t="s">
        <v>137</v>
      </c>
      <c r="D23" s="10" t="s">
        <v>97</v>
      </c>
      <c r="E23" s="10" t="s">
        <v>58</v>
      </c>
      <c r="F23" s="10" t="n">
        <v>2</v>
      </c>
      <c r="G23" s="13" t="n">
        <v>18</v>
      </c>
      <c r="H23" s="13" t="n">
        <f aca="false">F23*G23</f>
        <v>36</v>
      </c>
      <c r="I23" s="13" t="n">
        <f aca="false">H23*0.12</f>
        <v>4.32</v>
      </c>
      <c r="J23" s="13" t="n">
        <f aca="false">H23+I23</f>
        <v>40.32</v>
      </c>
    </row>
    <row r="24" customFormat="false" ht="21.75" hidden="false" customHeight="true" outlineLevel="0" collapsed="false">
      <c r="A24" s="6" t="n">
        <v>11</v>
      </c>
      <c r="B24" s="7" t="s">
        <v>55</v>
      </c>
      <c r="C24" s="8" t="s">
        <v>138</v>
      </c>
      <c r="D24" s="6" t="s">
        <v>97</v>
      </c>
      <c r="E24" s="6" t="s">
        <v>58</v>
      </c>
      <c r="F24" s="6" t="n">
        <v>4</v>
      </c>
      <c r="G24" s="9" t="n">
        <v>8</v>
      </c>
      <c r="H24" s="9" t="n">
        <f aca="false">F24*G24</f>
        <v>32</v>
      </c>
      <c r="I24" s="9" t="n">
        <f aca="false">H24*0.12</f>
        <v>3.84</v>
      </c>
      <c r="J24" s="9" t="n">
        <f aca="false">H24+I24</f>
        <v>35.84</v>
      </c>
    </row>
    <row r="25" customFormat="false" ht="21.75" hidden="false" customHeight="true" outlineLevel="0" collapsed="false">
      <c r="A25" s="10" t="n">
        <v>12</v>
      </c>
      <c r="B25" s="11" t="s">
        <v>55</v>
      </c>
      <c r="C25" s="12" t="s">
        <v>139</v>
      </c>
      <c r="D25" s="10" t="s">
        <v>97</v>
      </c>
      <c r="E25" s="10" t="s">
        <v>58</v>
      </c>
      <c r="F25" s="10" t="n">
        <v>4</v>
      </c>
      <c r="G25" s="13" t="n">
        <v>8</v>
      </c>
      <c r="H25" s="13" t="n">
        <f aca="false">F25*G25</f>
        <v>32</v>
      </c>
      <c r="I25" s="13" t="n">
        <f aca="false">H25*0.12</f>
        <v>3.84</v>
      </c>
      <c r="J25" s="13" t="n">
        <f aca="false">H25+I25</f>
        <v>35.84</v>
      </c>
    </row>
    <row r="26" customFormat="false" ht="21.75" hidden="false" customHeight="true" outlineLevel="0" collapsed="false">
      <c r="A26" s="6" t="n">
        <v>13</v>
      </c>
      <c r="B26" s="7" t="s">
        <v>55</v>
      </c>
      <c r="C26" s="8" t="s">
        <v>140</v>
      </c>
      <c r="D26" s="6" t="s">
        <v>97</v>
      </c>
      <c r="E26" s="6" t="s">
        <v>58</v>
      </c>
      <c r="F26" s="6" t="n">
        <v>9</v>
      </c>
      <c r="G26" s="9" t="n">
        <v>5</v>
      </c>
      <c r="H26" s="9" t="n">
        <f aca="false">F26*G26</f>
        <v>45</v>
      </c>
      <c r="I26" s="9" t="n">
        <f aca="false">H26*0.12</f>
        <v>5.4</v>
      </c>
      <c r="J26" s="9" t="n">
        <f aca="false">H26+I26</f>
        <v>50.4</v>
      </c>
    </row>
    <row r="27" customFormat="false" ht="21.75" hidden="false" customHeight="true" outlineLevel="0" collapsed="false">
      <c r="A27" s="10" t="n">
        <v>14</v>
      </c>
      <c r="B27" s="11" t="s">
        <v>55</v>
      </c>
      <c r="C27" s="12" t="s">
        <v>141</v>
      </c>
      <c r="D27" s="10" t="s">
        <v>50</v>
      </c>
      <c r="E27" s="10" t="s">
        <v>58</v>
      </c>
      <c r="F27" s="10" t="n">
        <v>4</v>
      </c>
      <c r="G27" s="13" t="n">
        <v>2</v>
      </c>
      <c r="H27" s="13" t="n">
        <f aca="false">F27*G27</f>
        <v>8</v>
      </c>
      <c r="I27" s="13" t="n">
        <f aca="false">H27*0.12</f>
        <v>0.96</v>
      </c>
      <c r="J27" s="13" t="n">
        <f aca="false">H27+I27</f>
        <v>8.96</v>
      </c>
    </row>
    <row r="28" customFormat="false" ht="21.75" hidden="false" customHeight="true" outlineLevel="0" collapsed="false">
      <c r="A28" s="6" t="n">
        <v>15</v>
      </c>
      <c r="B28" s="7" t="s">
        <v>55</v>
      </c>
      <c r="C28" s="8" t="s">
        <v>142</v>
      </c>
      <c r="D28" s="6" t="s">
        <v>41</v>
      </c>
      <c r="E28" s="6" t="s">
        <v>58</v>
      </c>
      <c r="F28" s="6" t="n">
        <v>1</v>
      </c>
      <c r="G28" s="9" t="n">
        <v>25</v>
      </c>
      <c r="H28" s="9" t="n">
        <f aca="false">F28*G28</f>
        <v>25</v>
      </c>
      <c r="I28" s="9" t="n">
        <f aca="false">H28*0.12</f>
        <v>3</v>
      </c>
      <c r="J28" s="9" t="n">
        <f aca="false">H28+I28</f>
        <v>28</v>
      </c>
    </row>
    <row r="29" customFormat="false" ht="21.75" hidden="false" customHeight="true" outlineLevel="0" collapsed="false">
      <c r="A29" s="10" t="n">
        <v>16</v>
      </c>
      <c r="B29" s="11" t="s">
        <v>55</v>
      </c>
      <c r="C29" s="12" t="s">
        <v>143</v>
      </c>
      <c r="D29" s="10" t="s">
        <v>97</v>
      </c>
      <c r="E29" s="10" t="s">
        <v>58</v>
      </c>
      <c r="F29" s="10" t="n">
        <v>4</v>
      </c>
      <c r="G29" s="13" t="n">
        <v>5</v>
      </c>
      <c r="H29" s="13" t="n">
        <f aca="false">F29*G29</f>
        <v>20</v>
      </c>
      <c r="I29" s="13" t="n">
        <f aca="false">H29*0.12</f>
        <v>2.4</v>
      </c>
      <c r="J29" s="13" t="n">
        <f aca="false">H29+I29</f>
        <v>22.4</v>
      </c>
    </row>
    <row r="30" customFormat="false" ht="21.75" hidden="false" customHeight="true" outlineLevel="0" collapsed="false">
      <c r="A30" s="6" t="n">
        <v>17</v>
      </c>
      <c r="B30" s="7" t="s">
        <v>55</v>
      </c>
      <c r="C30" s="8" t="s">
        <v>144</v>
      </c>
      <c r="D30" s="6" t="s">
        <v>145</v>
      </c>
      <c r="E30" s="6" t="s">
        <v>58</v>
      </c>
      <c r="F30" s="6" t="n">
        <v>2</v>
      </c>
      <c r="G30" s="9" t="n">
        <v>8</v>
      </c>
      <c r="H30" s="9" t="n">
        <f aca="false">F30*G30</f>
        <v>16</v>
      </c>
      <c r="I30" s="9" t="n">
        <f aca="false">H30*0.12</f>
        <v>1.92</v>
      </c>
      <c r="J30" s="9" t="n">
        <f aca="false">H30+I30</f>
        <v>17.92</v>
      </c>
    </row>
    <row r="31" customFormat="false" ht="21.75" hidden="false" customHeight="true" outlineLevel="0" collapsed="false">
      <c r="A31" s="10" t="n">
        <v>18</v>
      </c>
      <c r="B31" s="11" t="s">
        <v>55</v>
      </c>
      <c r="C31" s="12" t="s">
        <v>146</v>
      </c>
      <c r="D31" s="10" t="s">
        <v>41</v>
      </c>
      <c r="E31" s="10" t="s">
        <v>58</v>
      </c>
      <c r="F31" s="10" t="n">
        <v>1</v>
      </c>
      <c r="G31" s="13" t="n">
        <v>30</v>
      </c>
      <c r="H31" s="13" t="n">
        <f aca="false">F31*G31</f>
        <v>30</v>
      </c>
      <c r="I31" s="13" t="n">
        <f aca="false">H31*0.12</f>
        <v>3.6</v>
      </c>
      <c r="J31" s="13" t="n">
        <f aca="false">H31+I31</f>
        <v>33.6</v>
      </c>
    </row>
    <row r="32" customFormat="false" ht="21.75" hidden="false" customHeight="true" outlineLevel="0" collapsed="false">
      <c r="A32" s="6" t="n">
        <v>19</v>
      </c>
      <c r="B32" s="7" t="s">
        <v>55</v>
      </c>
      <c r="C32" s="8" t="s">
        <v>61</v>
      </c>
      <c r="D32" s="6" t="s">
        <v>50</v>
      </c>
      <c r="E32" s="6" t="s">
        <v>58</v>
      </c>
      <c r="F32" s="6" t="n">
        <v>1</v>
      </c>
      <c r="G32" s="9" t="n">
        <v>2</v>
      </c>
      <c r="H32" s="9" t="n">
        <f aca="false">F32*G32</f>
        <v>2</v>
      </c>
      <c r="I32" s="9" t="n">
        <f aca="false">H32*0.12</f>
        <v>0.24</v>
      </c>
      <c r="J32" s="9" t="n">
        <f aca="false">H32+I32</f>
        <v>2.24</v>
      </c>
    </row>
    <row r="33" customFormat="false" ht="21.75" hidden="false" customHeight="true" outlineLevel="0" collapsed="false">
      <c r="A33" s="10" t="n">
        <v>20</v>
      </c>
      <c r="B33" s="11" t="s">
        <v>55</v>
      </c>
      <c r="C33" s="12" t="s">
        <v>131</v>
      </c>
      <c r="D33" s="10" t="s">
        <v>50</v>
      </c>
      <c r="E33" s="10" t="s">
        <v>58</v>
      </c>
      <c r="F33" s="10" t="n">
        <v>1</v>
      </c>
      <c r="G33" s="13" t="n">
        <v>1</v>
      </c>
      <c r="H33" s="13" t="n">
        <f aca="false">F33*G33</f>
        <v>1</v>
      </c>
      <c r="I33" s="13" t="n">
        <f aca="false">H33*0.12</f>
        <v>0.12</v>
      </c>
      <c r="J33" s="13" t="n">
        <f aca="false">H33+I33</f>
        <v>1.12</v>
      </c>
    </row>
    <row r="34" customFormat="false" ht="18" hidden="false" customHeight="true" outlineLevel="0" collapsed="false">
      <c r="A34" s="5" t="s">
        <v>65</v>
      </c>
      <c r="B34" s="5"/>
      <c r="C34" s="5"/>
      <c r="D34" s="5"/>
      <c r="E34" s="5"/>
      <c r="F34" s="5"/>
      <c r="G34" s="5"/>
      <c r="H34" s="5"/>
      <c r="I34" s="5"/>
      <c r="J34" s="5"/>
    </row>
    <row r="35" customFormat="false" ht="21.75" hidden="false" customHeight="true" outlineLevel="0" collapsed="false">
      <c r="A35" s="6" t="n">
        <v>21</v>
      </c>
      <c r="B35" s="7" t="s">
        <v>66</v>
      </c>
      <c r="C35" s="8" t="s">
        <v>110</v>
      </c>
      <c r="D35" s="6" t="s">
        <v>50</v>
      </c>
      <c r="E35" s="6" t="s">
        <v>58</v>
      </c>
      <c r="F35" s="6" t="n">
        <v>1</v>
      </c>
      <c r="G35" s="9" t="n">
        <v>30</v>
      </c>
      <c r="H35" s="9" t="n">
        <f aca="false">F35*G35</f>
        <v>30</v>
      </c>
      <c r="I35" s="9" t="n">
        <f aca="false">H35*0.12</f>
        <v>3.6</v>
      </c>
      <c r="J35" s="9" t="n">
        <f aca="false">H35+I35</f>
        <v>33.6</v>
      </c>
    </row>
    <row r="36" customFormat="false" ht="21.75" hidden="false" customHeight="true" outlineLevel="0" collapsed="false">
      <c r="A36" s="10" t="n">
        <v>22</v>
      </c>
      <c r="B36" s="11" t="s">
        <v>66</v>
      </c>
      <c r="C36" s="12" t="s">
        <v>68</v>
      </c>
      <c r="D36" s="10" t="s">
        <v>50</v>
      </c>
      <c r="E36" s="10" t="s">
        <v>58</v>
      </c>
      <c r="F36" s="10" t="n">
        <v>1</v>
      </c>
      <c r="G36" s="13" t="n">
        <v>0</v>
      </c>
      <c r="H36" s="13" t="n">
        <f aca="false">F36*G36</f>
        <v>0</v>
      </c>
      <c r="I36" s="13" t="n">
        <f aca="false">H36*0.12</f>
        <v>0</v>
      </c>
      <c r="J36" s="13" t="n">
        <f aca="false">H36+I36</f>
        <v>0</v>
      </c>
    </row>
    <row r="37" customFormat="false" ht="21.75" hidden="false" customHeight="true" outlineLevel="0" collapsed="false">
      <c r="A37" s="6" t="n">
        <v>23</v>
      </c>
      <c r="B37" s="7" t="s">
        <v>66</v>
      </c>
      <c r="C37" s="8" t="s">
        <v>69</v>
      </c>
      <c r="D37" s="6" t="s">
        <v>50</v>
      </c>
      <c r="E37" s="6" t="s">
        <v>58</v>
      </c>
      <c r="F37" s="6" t="n">
        <v>1</v>
      </c>
      <c r="G37" s="9" t="n">
        <v>3.5</v>
      </c>
      <c r="H37" s="9" t="n">
        <f aca="false">F37*G37</f>
        <v>3.5</v>
      </c>
      <c r="I37" s="9" t="n">
        <f aca="false">H37*0.12</f>
        <v>0.42</v>
      </c>
      <c r="J37" s="9" t="n">
        <f aca="false">H37+I37</f>
        <v>3.92</v>
      </c>
    </row>
    <row r="38" customFormat="false" ht="21.75" hidden="false" customHeight="true" outlineLevel="0" collapsed="false">
      <c r="A38" s="10" t="n">
        <v>24</v>
      </c>
      <c r="B38" s="11" t="s">
        <v>66</v>
      </c>
      <c r="C38" s="12" t="s">
        <v>70</v>
      </c>
      <c r="D38" s="10" t="s">
        <v>50</v>
      </c>
      <c r="E38" s="10" t="s">
        <v>58</v>
      </c>
      <c r="F38" s="10" t="n">
        <v>1</v>
      </c>
      <c r="G38" s="13" t="n">
        <v>3.5</v>
      </c>
      <c r="H38" s="13" t="n">
        <f aca="false">F38*G38</f>
        <v>3.5</v>
      </c>
      <c r="I38" s="13" t="n">
        <f aca="false">H38*0.12</f>
        <v>0.42</v>
      </c>
      <c r="J38" s="13" t="n">
        <f aca="false">H38+I38</f>
        <v>3.92</v>
      </c>
    </row>
    <row r="39" customFormat="false" ht="18" hidden="false" customHeight="true" outlineLevel="0" collapsed="false">
      <c r="A39" s="5" t="s">
        <v>71</v>
      </c>
      <c r="B39" s="5"/>
      <c r="C39" s="5"/>
      <c r="D39" s="5"/>
      <c r="E39" s="5"/>
      <c r="F39" s="5"/>
      <c r="G39" s="5"/>
      <c r="H39" s="5"/>
      <c r="I39" s="5"/>
      <c r="J39" s="5"/>
    </row>
    <row r="40" customFormat="false" ht="21.75" hidden="false" customHeight="true" outlineLevel="0" collapsed="false">
      <c r="A40" s="6" t="n">
        <v>25</v>
      </c>
      <c r="B40" s="7" t="s">
        <v>72</v>
      </c>
      <c r="C40" s="8" t="s">
        <v>73</v>
      </c>
      <c r="D40" s="6" t="s">
        <v>50</v>
      </c>
      <c r="E40" s="6" t="s">
        <v>58</v>
      </c>
      <c r="F40" s="6" t="n">
        <v>1</v>
      </c>
      <c r="G40" s="9" t="n">
        <v>5</v>
      </c>
      <c r="H40" s="9" t="n">
        <f aca="false">F40*G40</f>
        <v>5</v>
      </c>
      <c r="I40" s="9" t="n">
        <f aca="false">H40*0.18</f>
        <v>0.9</v>
      </c>
      <c r="J40" s="9" t="n">
        <f aca="false">H40+I40</f>
        <v>5.9</v>
      </c>
    </row>
    <row r="41" customFormat="false" ht="21.75" hidden="false" customHeight="true" outlineLevel="0" collapsed="false">
      <c r="A41" s="10" t="n">
        <v>26</v>
      </c>
      <c r="B41" s="11" t="s">
        <v>72</v>
      </c>
      <c r="C41" s="12" t="s">
        <v>74</v>
      </c>
      <c r="D41" s="10" t="s">
        <v>50</v>
      </c>
      <c r="E41" s="10" t="s">
        <v>58</v>
      </c>
      <c r="F41" s="10" t="n">
        <v>1</v>
      </c>
      <c r="G41" s="13" t="n">
        <v>5</v>
      </c>
      <c r="H41" s="13" t="n">
        <f aca="false">F41*G41</f>
        <v>5</v>
      </c>
      <c r="I41" s="13" t="n">
        <f aca="false">H41*0.18</f>
        <v>0.9</v>
      </c>
      <c r="J41" s="13" t="n">
        <f aca="false">H41+I41</f>
        <v>5.9</v>
      </c>
    </row>
    <row r="42" customFormat="false" ht="21.75" hidden="false" customHeight="true" outlineLevel="0" collapsed="false">
      <c r="A42" s="6" t="n">
        <v>27</v>
      </c>
      <c r="B42" s="7" t="s">
        <v>72</v>
      </c>
      <c r="C42" s="8" t="s">
        <v>75</v>
      </c>
      <c r="D42" s="6" t="s">
        <v>50</v>
      </c>
      <c r="E42" s="6" t="s">
        <v>76</v>
      </c>
      <c r="F42" s="6" t="n">
        <v>1</v>
      </c>
      <c r="G42" s="9" t="n">
        <v>12</v>
      </c>
      <c r="H42" s="9" t="n">
        <f aca="false">F42*G42</f>
        <v>12</v>
      </c>
      <c r="I42" s="9" t="n">
        <f aca="false">H42*0.18</f>
        <v>2.16</v>
      </c>
      <c r="J42" s="9" t="n">
        <f aca="false">H42+I42</f>
        <v>14.16</v>
      </c>
    </row>
    <row r="43" customFormat="false" ht="21.75" hidden="false" customHeight="true" outlineLevel="0" collapsed="false">
      <c r="A43" s="10" t="n">
        <v>28</v>
      </c>
      <c r="B43" s="11" t="s">
        <v>72</v>
      </c>
      <c r="C43" s="12" t="s">
        <v>77</v>
      </c>
      <c r="D43" s="10" t="s">
        <v>50</v>
      </c>
      <c r="E43" s="10" t="s">
        <v>76</v>
      </c>
      <c r="F43" s="10" t="n">
        <v>0.2</v>
      </c>
      <c r="G43" s="13" t="n">
        <v>115</v>
      </c>
      <c r="H43" s="13" t="n">
        <f aca="false">F43*G43</f>
        <v>23</v>
      </c>
      <c r="I43" s="13" t="n">
        <f aca="false">H43*0.18</f>
        <v>4.14</v>
      </c>
      <c r="J43" s="13" t="n">
        <f aca="false">H43+I43</f>
        <v>27.14</v>
      </c>
    </row>
    <row r="44" customFormat="false" ht="21.75" hidden="false" customHeight="true" outlineLevel="0" collapsed="false">
      <c r="A44" s="6" t="n">
        <v>29</v>
      </c>
      <c r="B44" s="7" t="s">
        <v>72</v>
      </c>
      <c r="C44" s="8" t="s">
        <v>78</v>
      </c>
      <c r="D44" s="6" t="s">
        <v>50</v>
      </c>
      <c r="E44" s="6" t="s">
        <v>79</v>
      </c>
      <c r="F44" s="6" t="n">
        <v>2</v>
      </c>
      <c r="G44" s="9" t="n">
        <v>1.35</v>
      </c>
      <c r="H44" s="9" t="n">
        <f aca="false">F44*G44</f>
        <v>2.7</v>
      </c>
      <c r="I44" s="9" t="n">
        <f aca="false">H44*0.18</f>
        <v>0.486</v>
      </c>
      <c r="J44" s="9" t="n">
        <f aca="false">H44+I44</f>
        <v>3.186</v>
      </c>
    </row>
    <row r="45" customFormat="false" ht="21.75" hidden="false" customHeight="true" outlineLevel="0" collapsed="false">
      <c r="A45" s="10" t="n">
        <v>30</v>
      </c>
      <c r="B45" s="11" t="s">
        <v>72</v>
      </c>
      <c r="C45" s="12" t="s">
        <v>80</v>
      </c>
      <c r="D45" s="10" t="s">
        <v>50</v>
      </c>
      <c r="E45" s="10" t="s">
        <v>58</v>
      </c>
      <c r="F45" s="10" t="n">
        <v>0.07</v>
      </c>
      <c r="G45" s="13" t="n">
        <v>168</v>
      </c>
      <c r="H45" s="13" t="n">
        <f aca="false">F45*G45</f>
        <v>11.76</v>
      </c>
      <c r="I45" s="13" t="n">
        <f aca="false">H45*0.18</f>
        <v>2.1168</v>
      </c>
      <c r="J45" s="13" t="n">
        <f aca="false">H45+I45</f>
        <v>13.8768</v>
      </c>
    </row>
    <row r="46" customFormat="false" ht="21.75" hidden="false" customHeight="true" outlineLevel="0" collapsed="false">
      <c r="A46" s="6" t="n">
        <v>31</v>
      </c>
      <c r="B46" s="7" t="s">
        <v>72</v>
      </c>
      <c r="C46" s="8" t="s">
        <v>81</v>
      </c>
      <c r="D46" s="6" t="s">
        <v>82</v>
      </c>
      <c r="E46" s="6" t="s">
        <v>83</v>
      </c>
      <c r="F46" s="6" t="n">
        <v>0.1</v>
      </c>
      <c r="G46" s="9" t="n">
        <v>54</v>
      </c>
      <c r="H46" s="9" t="n">
        <f aca="false">F46*G46</f>
        <v>5.4</v>
      </c>
      <c r="I46" s="9" t="n">
        <f aca="false">H46*0.18</f>
        <v>0.972</v>
      </c>
      <c r="J46" s="9" t="n">
        <f aca="false">H46+I46</f>
        <v>6.372</v>
      </c>
    </row>
    <row r="47" customFormat="false" ht="18" hidden="false" customHeight="true" outlineLevel="0" collapsed="false">
      <c r="A47" s="5" t="s">
        <v>84</v>
      </c>
      <c r="B47" s="5"/>
      <c r="C47" s="5"/>
      <c r="D47" s="5"/>
      <c r="E47" s="5"/>
      <c r="F47" s="5"/>
      <c r="G47" s="5"/>
      <c r="H47" s="5"/>
      <c r="I47" s="5"/>
      <c r="J47" s="5"/>
    </row>
    <row r="48" customFormat="false" ht="21.75" hidden="false" customHeight="true" outlineLevel="0" collapsed="false">
      <c r="A48" s="10" t="n">
        <v>32</v>
      </c>
      <c r="B48" s="11" t="s">
        <v>85</v>
      </c>
      <c r="C48" s="12" t="s">
        <v>86</v>
      </c>
      <c r="D48" s="10" t="s">
        <v>87</v>
      </c>
      <c r="E48" s="10" t="s">
        <v>58</v>
      </c>
      <c r="F48" s="10" t="n">
        <v>1</v>
      </c>
      <c r="G48" s="13" t="n">
        <v>1000</v>
      </c>
      <c r="H48" s="13" t="n">
        <f aca="false">F48*G48</f>
        <v>1000</v>
      </c>
      <c r="I48" s="13" t="n">
        <f aca="false">H48*0</f>
        <v>0</v>
      </c>
      <c r="J48" s="13" t="n">
        <f aca="false">H48+I48</f>
        <v>1000</v>
      </c>
    </row>
    <row r="49" customFormat="false" ht="21.75" hidden="false" customHeight="true" outlineLevel="0" collapsed="false">
      <c r="A49" s="6" t="n">
        <v>33</v>
      </c>
      <c r="B49" s="7" t="s">
        <v>88</v>
      </c>
      <c r="C49" s="8" t="s">
        <v>89</v>
      </c>
      <c r="D49" s="6" t="s">
        <v>87</v>
      </c>
      <c r="E49" s="6" t="s">
        <v>58</v>
      </c>
      <c r="F49" s="6" t="n">
        <v>1</v>
      </c>
      <c r="G49" s="9" t="n">
        <v>450</v>
      </c>
      <c r="H49" s="9" t="n">
        <f aca="false">F49*G49</f>
        <v>450</v>
      </c>
      <c r="I49" s="9" t="n">
        <f aca="false">H49*0</f>
        <v>0</v>
      </c>
      <c r="J49" s="9" t="n">
        <f aca="false">H49+I49</f>
        <v>450</v>
      </c>
    </row>
    <row r="51" customFormat="false" ht="21.75" hidden="false" customHeight="true" outlineLevel="0" collapsed="false">
      <c r="A51" s="14" t="s">
        <v>90</v>
      </c>
      <c r="B51" s="14"/>
      <c r="C51" s="14"/>
      <c r="D51" s="14"/>
      <c r="E51" s="14"/>
      <c r="F51" s="14"/>
      <c r="G51" s="14"/>
      <c r="H51" s="15" t="n">
        <f aca="false">H10+H12+H14+H15+H16+H18+H19+H20+H22+H23+H24+H25+H26+H27+H28+H29+H30+H31+H32+H33+H35+H36+H37+H38+H40+H41+H42+H43+H44+H45+H46+H48+H49</f>
        <v>46040.11</v>
      </c>
      <c r="I51" s="15" t="n">
        <f aca="false">I10+I12+I14+I15+I16+I18+I19+I20+I22+I23+I24+I25+I26+I27+I28+I29+I30+I31+I32+I33+I35+I36+I37+I38+I40+I41+I42+I43+I44+I45+I46+I48+I49</f>
        <v>5071.4598</v>
      </c>
      <c r="J51" s="15" t="n">
        <f aca="false">J10+J12+J14+J15+J16+J18+J19+J20+J22+J23+J24+J25+J26+J27+J28+J29+J30+J31+J32+J33+J35+J36+J37+J38+J40+J41+J42+J43+J44+J45+J46+J48+J49</f>
        <v>51111.5698</v>
      </c>
    </row>
    <row r="52" customFormat="false" ht="18" hidden="false" customHeight="true" outlineLevel="0" collapsed="false">
      <c r="A52" s="16" t="s">
        <v>91</v>
      </c>
      <c r="B52" s="16"/>
      <c r="C52" s="16"/>
      <c r="D52" s="16"/>
      <c r="E52" s="16"/>
      <c r="F52" s="16"/>
      <c r="G52" s="16"/>
      <c r="H52" s="17"/>
      <c r="I52" s="17"/>
      <c r="J52" s="17"/>
    </row>
    <row r="54" customFormat="false" ht="39.75" hidden="false" customHeight="true" outlineLevel="0" collapsed="false">
      <c r="A54" s="18" t="s">
        <v>147</v>
      </c>
      <c r="B54" s="18"/>
      <c r="C54" s="18"/>
      <c r="D54" s="18"/>
      <c r="E54" s="18"/>
      <c r="F54" s="18"/>
      <c r="G54" s="18"/>
      <c r="H54" s="18"/>
      <c r="I54" s="18"/>
      <c r="J54" s="18"/>
    </row>
  </sheetData>
  <mergeCells count="32">
    <mergeCell ref="A1:J1"/>
    <mergeCell ref="A2:B2"/>
    <mergeCell ref="C2:E2"/>
    <mergeCell ref="F2:G2"/>
    <mergeCell ref="H2:J2"/>
    <mergeCell ref="A3:B3"/>
    <mergeCell ref="C3:E3"/>
    <mergeCell ref="F3:G3"/>
    <mergeCell ref="H3:J3"/>
    <mergeCell ref="A4:B4"/>
    <mergeCell ref="C4:E4"/>
    <mergeCell ref="F4:G4"/>
    <mergeCell ref="H4:J4"/>
    <mergeCell ref="A5:B5"/>
    <mergeCell ref="C5:E5"/>
    <mergeCell ref="F5:G5"/>
    <mergeCell ref="H5:J5"/>
    <mergeCell ref="A6:B6"/>
    <mergeCell ref="C6:E6"/>
    <mergeCell ref="F6:G6"/>
    <mergeCell ref="H6:J6"/>
    <mergeCell ref="A9:J9"/>
    <mergeCell ref="A11:J11"/>
    <mergeCell ref="A13:J13"/>
    <mergeCell ref="A17:J17"/>
    <mergeCell ref="A21:J21"/>
    <mergeCell ref="A34:J34"/>
    <mergeCell ref="A39:J39"/>
    <mergeCell ref="A47:J47"/>
    <mergeCell ref="A51:G51"/>
    <mergeCell ref="A52:G52"/>
    <mergeCell ref="A54:J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6.5" hidden="false" customHeight="true" outlineLevel="0" collapsed="false">
      <c r="A2" s="2" t="s">
        <v>1</v>
      </c>
      <c r="B2" s="2"/>
      <c r="C2" s="3" t="s">
        <v>2</v>
      </c>
      <c r="D2" s="3"/>
      <c r="E2" s="3"/>
      <c r="F2" s="2" t="s">
        <v>3</v>
      </c>
      <c r="G2" s="2"/>
      <c r="H2" s="3" t="s">
        <v>4</v>
      </c>
      <c r="I2" s="3"/>
      <c r="J2" s="3"/>
    </row>
    <row r="3" customFormat="false" ht="16.5" hidden="false" customHeight="true" outlineLevel="0" collapsed="false">
      <c r="A3" s="2" t="s">
        <v>5</v>
      </c>
      <c r="B3" s="2"/>
      <c r="C3" s="3" t="s">
        <v>6</v>
      </c>
      <c r="D3" s="3"/>
      <c r="E3" s="3"/>
      <c r="F3" s="2" t="s">
        <v>7</v>
      </c>
      <c r="G3" s="2"/>
      <c r="H3" s="3" t="s">
        <v>8</v>
      </c>
      <c r="I3" s="3"/>
      <c r="J3" s="3"/>
    </row>
    <row r="4" customFormat="false" ht="16.5" hidden="false" customHeight="true" outlineLevel="0" collapsed="false">
      <c r="A4" s="2" t="s">
        <v>9</v>
      </c>
      <c r="B4" s="2"/>
      <c r="C4" s="3" t="s">
        <v>148</v>
      </c>
      <c r="D4" s="3"/>
      <c r="E4" s="3"/>
      <c r="F4" s="2" t="s">
        <v>11</v>
      </c>
      <c r="G4" s="2"/>
      <c r="H4" s="3" t="s">
        <v>149</v>
      </c>
      <c r="I4" s="3"/>
      <c r="J4" s="3"/>
    </row>
    <row r="5" customFormat="false" ht="16.5" hidden="false" customHeight="true" outlineLevel="0" collapsed="false">
      <c r="A5" s="2" t="s">
        <v>13</v>
      </c>
      <c r="B5" s="2"/>
      <c r="C5" s="3" t="s">
        <v>150</v>
      </c>
      <c r="D5" s="3"/>
      <c r="E5" s="3"/>
      <c r="F5" s="2" t="s">
        <v>15</v>
      </c>
      <c r="G5" s="2"/>
      <c r="H5" s="3" t="s">
        <v>103</v>
      </c>
      <c r="I5" s="3"/>
      <c r="J5" s="3"/>
    </row>
    <row r="6" customFormat="false" ht="16.5" hidden="false" customHeight="true" outlineLevel="0" collapsed="false">
      <c r="A6" s="2" t="s">
        <v>17</v>
      </c>
      <c r="B6" s="2"/>
      <c r="C6" s="3" t="s">
        <v>18</v>
      </c>
      <c r="D6" s="3"/>
      <c r="E6" s="3"/>
      <c r="F6" s="2" t="s">
        <v>19</v>
      </c>
      <c r="G6" s="2"/>
      <c r="H6" s="3" t="s">
        <v>20</v>
      </c>
      <c r="I6" s="3"/>
      <c r="J6" s="3"/>
    </row>
    <row r="8" customFormat="false" ht="27.75" hidden="false" customHeight="true" outlineLevel="0" collapsed="false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27</v>
      </c>
      <c r="H8" s="4" t="s">
        <v>28</v>
      </c>
      <c r="I8" s="4" t="s">
        <v>29</v>
      </c>
      <c r="J8" s="4" t="s">
        <v>30</v>
      </c>
    </row>
    <row r="9" customFormat="false" ht="18" hidden="false" customHeight="true" outlineLevel="0" collapsed="false">
      <c r="A9" s="5" t="s">
        <v>31</v>
      </c>
      <c r="B9" s="5"/>
      <c r="C9" s="5"/>
      <c r="D9" s="5"/>
      <c r="E9" s="5"/>
      <c r="F9" s="5"/>
      <c r="G9" s="5"/>
      <c r="H9" s="5"/>
      <c r="I9" s="5"/>
      <c r="J9" s="5"/>
    </row>
    <row r="10" customFormat="false" ht="21.75" hidden="false" customHeight="true" outlineLevel="0" collapsed="false">
      <c r="A10" s="6" t="n">
        <v>1</v>
      </c>
      <c r="B10" s="7" t="s">
        <v>32</v>
      </c>
      <c r="C10" s="8" t="s">
        <v>150</v>
      </c>
      <c r="D10" s="6" t="s">
        <v>149</v>
      </c>
      <c r="E10" s="6" t="s">
        <v>33</v>
      </c>
      <c r="F10" s="6" t="n">
        <v>375</v>
      </c>
      <c r="G10" s="9" t="n">
        <v>11</v>
      </c>
      <c r="H10" s="9" t="n">
        <f aca="false">F10*G10</f>
        <v>4125</v>
      </c>
      <c r="I10" s="9" t="n">
        <f aca="false">H10*0.05</f>
        <v>206.25</v>
      </c>
      <c r="J10" s="9" t="n">
        <f aca="false">H10+I10</f>
        <v>4331.25</v>
      </c>
    </row>
    <row r="11" customFormat="false" ht="18" hidden="false" customHeight="true" outlineLevel="0" collapsed="false">
      <c r="A11" s="5" t="s">
        <v>34</v>
      </c>
      <c r="B11" s="5"/>
      <c r="C11" s="5"/>
      <c r="D11" s="5"/>
      <c r="E11" s="5"/>
      <c r="F11" s="5"/>
      <c r="G11" s="5"/>
      <c r="H11" s="5"/>
      <c r="I11" s="5"/>
      <c r="J11" s="5"/>
    </row>
    <row r="12" customFormat="false" ht="21.75" hidden="false" customHeight="true" outlineLevel="0" collapsed="false">
      <c r="A12" s="10" t="n">
        <v>2</v>
      </c>
      <c r="B12" s="11" t="s">
        <v>35</v>
      </c>
      <c r="C12" s="12" t="s">
        <v>151</v>
      </c>
      <c r="D12" s="10" t="s">
        <v>105</v>
      </c>
      <c r="E12" s="10" t="s">
        <v>37</v>
      </c>
      <c r="F12" s="10" t="n">
        <v>0.5</v>
      </c>
      <c r="G12" s="13" t="n">
        <v>55</v>
      </c>
      <c r="H12" s="13" t="n">
        <f aca="false">F12*G12</f>
        <v>27.5</v>
      </c>
      <c r="I12" s="13" t="n">
        <f aca="false">H12*0.12</f>
        <v>3.3</v>
      </c>
      <c r="J12" s="13" t="n">
        <f aca="false">H12+I12</f>
        <v>30.8</v>
      </c>
    </row>
    <row r="13" customFormat="false" ht="18" hidden="false" customHeight="true" outlineLevel="0" collapsed="false">
      <c r="A13" s="5" t="s">
        <v>38</v>
      </c>
      <c r="B13" s="5"/>
      <c r="C13" s="5"/>
      <c r="D13" s="5"/>
      <c r="E13" s="5"/>
      <c r="F13" s="5"/>
      <c r="G13" s="5"/>
      <c r="H13" s="5"/>
      <c r="I13" s="5"/>
      <c r="J13" s="5"/>
    </row>
    <row r="14" customFormat="false" ht="21.75" hidden="false" customHeight="true" outlineLevel="0" collapsed="false">
      <c r="A14" s="6" t="n">
        <v>3</v>
      </c>
      <c r="B14" s="7" t="s">
        <v>39</v>
      </c>
      <c r="C14" s="8" t="s">
        <v>40</v>
      </c>
      <c r="D14" s="6" t="s">
        <v>41</v>
      </c>
      <c r="E14" s="6" t="s">
        <v>42</v>
      </c>
      <c r="F14" s="6" t="n">
        <v>100</v>
      </c>
      <c r="G14" s="9" t="n">
        <v>61</v>
      </c>
      <c r="H14" s="9" t="n">
        <f aca="false">F14*G14</f>
        <v>6100</v>
      </c>
      <c r="I14" s="9" t="n">
        <f aca="false">H14*0.12</f>
        <v>732</v>
      </c>
      <c r="J14" s="9" t="n">
        <f aca="false">H14+I14</f>
        <v>6832</v>
      </c>
    </row>
    <row r="15" customFormat="false" ht="21.75" hidden="false" customHeight="true" outlineLevel="0" collapsed="false">
      <c r="A15" s="10" t="n">
        <v>4</v>
      </c>
      <c r="B15" s="11" t="s">
        <v>39</v>
      </c>
      <c r="C15" s="12" t="s">
        <v>43</v>
      </c>
      <c r="D15" s="10" t="s">
        <v>41</v>
      </c>
      <c r="E15" s="10" t="s">
        <v>42</v>
      </c>
      <c r="F15" s="10" t="n">
        <v>100</v>
      </c>
      <c r="G15" s="13" t="n">
        <v>257</v>
      </c>
      <c r="H15" s="13" t="n">
        <f aca="false">F15*G15</f>
        <v>25700</v>
      </c>
      <c r="I15" s="13" t="n">
        <f aca="false">H15*0.12</f>
        <v>3084</v>
      </c>
      <c r="J15" s="13" t="n">
        <f aca="false">H15+I15</f>
        <v>28784</v>
      </c>
    </row>
    <row r="16" customFormat="false" ht="21.75" hidden="false" customHeight="true" outlineLevel="0" collapsed="false">
      <c r="A16" s="6" t="n">
        <v>5</v>
      </c>
      <c r="B16" s="7" t="s">
        <v>39</v>
      </c>
      <c r="C16" s="8" t="s">
        <v>44</v>
      </c>
      <c r="D16" s="6" t="s">
        <v>41</v>
      </c>
      <c r="E16" s="6" t="s">
        <v>42</v>
      </c>
      <c r="F16" s="6" t="n">
        <v>50</v>
      </c>
      <c r="G16" s="9" t="n">
        <v>162</v>
      </c>
      <c r="H16" s="9" t="n">
        <f aca="false">F16*G16</f>
        <v>8100</v>
      </c>
      <c r="I16" s="9" t="n">
        <f aca="false">H16*0.12</f>
        <v>972</v>
      </c>
      <c r="J16" s="9" t="n">
        <f aca="false">H16+I16</f>
        <v>9072</v>
      </c>
    </row>
    <row r="17" customFormat="false" ht="18" hidden="false" customHeight="true" outlineLevel="0" collapsed="false">
      <c r="A17" s="5" t="s">
        <v>45</v>
      </c>
      <c r="B17" s="5"/>
      <c r="C17" s="5"/>
      <c r="D17" s="5"/>
      <c r="E17" s="5"/>
      <c r="F17" s="5"/>
      <c r="G17" s="5"/>
      <c r="H17" s="5"/>
      <c r="I17" s="5"/>
      <c r="J17" s="5"/>
    </row>
    <row r="18" customFormat="false" ht="21.75" hidden="false" customHeight="true" outlineLevel="0" collapsed="false">
      <c r="A18" s="10" t="n">
        <v>6</v>
      </c>
      <c r="B18" s="11" t="s">
        <v>46</v>
      </c>
      <c r="C18" s="12" t="s">
        <v>46</v>
      </c>
      <c r="D18" s="10" t="s">
        <v>47</v>
      </c>
      <c r="E18" s="10" t="s">
        <v>48</v>
      </c>
      <c r="F18" s="10" t="n">
        <v>0.5</v>
      </c>
      <c r="G18" s="13" t="n">
        <v>18</v>
      </c>
      <c r="H18" s="13" t="n">
        <f aca="false">F18*G18</f>
        <v>9</v>
      </c>
      <c r="I18" s="13" t="n">
        <f aca="false">H18*0.18</f>
        <v>1.62</v>
      </c>
      <c r="J18" s="13" t="n">
        <f aca="false">H18+I18</f>
        <v>10.62</v>
      </c>
    </row>
    <row r="19" customFormat="false" ht="21.75" hidden="false" customHeight="true" outlineLevel="0" collapsed="false">
      <c r="A19" s="6" t="n">
        <v>7</v>
      </c>
      <c r="B19" s="7" t="s">
        <v>46</v>
      </c>
      <c r="C19" s="8" t="s">
        <v>49</v>
      </c>
      <c r="D19" s="6" t="s">
        <v>50</v>
      </c>
      <c r="E19" s="6" t="s">
        <v>51</v>
      </c>
      <c r="F19" s="6" t="n">
        <v>0.15</v>
      </c>
      <c r="G19" s="9" t="n">
        <v>95</v>
      </c>
      <c r="H19" s="9" t="n">
        <f aca="false">F19*G19</f>
        <v>14.25</v>
      </c>
      <c r="I19" s="9" t="n">
        <f aca="false">H19*0.18</f>
        <v>2.565</v>
      </c>
      <c r="J19" s="9" t="n">
        <f aca="false">H19+I19</f>
        <v>16.815</v>
      </c>
    </row>
    <row r="20" customFormat="false" ht="21.75" hidden="false" customHeight="true" outlineLevel="0" collapsed="false">
      <c r="A20" s="10" t="n">
        <v>8</v>
      </c>
      <c r="B20" s="11" t="s">
        <v>46</v>
      </c>
      <c r="C20" s="12" t="s">
        <v>52</v>
      </c>
      <c r="D20" s="10" t="s">
        <v>53</v>
      </c>
      <c r="E20" s="10" t="s">
        <v>48</v>
      </c>
      <c r="F20" s="10" t="n">
        <v>3.75</v>
      </c>
      <c r="G20" s="13" t="n">
        <v>8</v>
      </c>
      <c r="H20" s="13" t="n">
        <f aca="false">F20*G20</f>
        <v>30</v>
      </c>
      <c r="I20" s="13" t="n">
        <f aca="false">H20*0.18</f>
        <v>5.4</v>
      </c>
      <c r="J20" s="13" t="n">
        <f aca="false">H20+I20</f>
        <v>35.4</v>
      </c>
    </row>
    <row r="21" customFormat="false" ht="18" hidden="false" customHeight="true" outlineLevel="0" collapsed="false">
      <c r="A21" s="5" t="s">
        <v>54</v>
      </c>
      <c r="B21" s="5"/>
      <c r="C21" s="5"/>
      <c r="D21" s="5"/>
      <c r="E21" s="5"/>
      <c r="F21" s="5"/>
      <c r="G21" s="5"/>
      <c r="H21" s="5"/>
      <c r="I21" s="5"/>
      <c r="J21" s="5"/>
    </row>
    <row r="22" customFormat="false" ht="21.75" hidden="false" customHeight="true" outlineLevel="0" collapsed="false">
      <c r="A22" s="6" t="n">
        <v>9</v>
      </c>
      <c r="B22" s="7" t="s">
        <v>55</v>
      </c>
      <c r="C22" s="8" t="s">
        <v>152</v>
      </c>
      <c r="D22" s="6" t="s">
        <v>41</v>
      </c>
      <c r="E22" s="6" t="s">
        <v>58</v>
      </c>
      <c r="F22" s="6" t="n">
        <v>3</v>
      </c>
      <c r="G22" s="9" t="n">
        <v>15</v>
      </c>
      <c r="H22" s="9" t="n">
        <f aca="false">F22*G22</f>
        <v>45</v>
      </c>
      <c r="I22" s="9" t="n">
        <f aca="false">H22*0.12</f>
        <v>5.4</v>
      </c>
      <c r="J22" s="9" t="n">
        <f aca="false">H22+I22</f>
        <v>50.4</v>
      </c>
    </row>
    <row r="23" customFormat="false" ht="21.75" hidden="false" customHeight="true" outlineLevel="0" collapsed="false">
      <c r="A23" s="10" t="n">
        <v>10</v>
      </c>
      <c r="B23" s="11" t="s">
        <v>55</v>
      </c>
      <c r="C23" s="12" t="s">
        <v>108</v>
      </c>
      <c r="D23" s="10" t="s">
        <v>41</v>
      </c>
      <c r="E23" s="10" t="s">
        <v>58</v>
      </c>
      <c r="F23" s="10" t="n">
        <v>3</v>
      </c>
      <c r="G23" s="13" t="n">
        <v>2.5</v>
      </c>
      <c r="H23" s="13" t="n">
        <f aca="false">F23*G23</f>
        <v>7.5</v>
      </c>
      <c r="I23" s="13" t="n">
        <f aca="false">H23*0.12</f>
        <v>0.9</v>
      </c>
      <c r="J23" s="13" t="n">
        <f aca="false">H23+I23</f>
        <v>8.4</v>
      </c>
    </row>
    <row r="24" customFormat="false" ht="21.75" hidden="false" customHeight="true" outlineLevel="0" collapsed="false">
      <c r="A24" s="6" t="n">
        <v>11</v>
      </c>
      <c r="B24" s="7" t="s">
        <v>55</v>
      </c>
      <c r="C24" s="8" t="s">
        <v>153</v>
      </c>
      <c r="D24" s="6" t="s">
        <v>41</v>
      </c>
      <c r="E24" s="6" t="s">
        <v>58</v>
      </c>
      <c r="F24" s="6" t="n">
        <v>1</v>
      </c>
      <c r="G24" s="9" t="n">
        <v>30</v>
      </c>
      <c r="H24" s="9" t="n">
        <f aca="false">F24*G24</f>
        <v>30</v>
      </c>
      <c r="I24" s="9" t="n">
        <f aca="false">H24*0.12</f>
        <v>3.6</v>
      </c>
      <c r="J24" s="9" t="n">
        <f aca="false">H24+I24</f>
        <v>33.6</v>
      </c>
    </row>
    <row r="25" customFormat="false" ht="21.75" hidden="false" customHeight="true" outlineLevel="0" collapsed="false">
      <c r="A25" s="10" t="n">
        <v>12</v>
      </c>
      <c r="B25" s="11" t="s">
        <v>55</v>
      </c>
      <c r="C25" s="12" t="s">
        <v>61</v>
      </c>
      <c r="D25" s="10" t="s">
        <v>50</v>
      </c>
      <c r="E25" s="10" t="s">
        <v>58</v>
      </c>
      <c r="F25" s="10" t="n">
        <v>1</v>
      </c>
      <c r="G25" s="13" t="n">
        <v>2</v>
      </c>
      <c r="H25" s="13" t="n">
        <f aca="false">F25*G25</f>
        <v>2</v>
      </c>
      <c r="I25" s="13" t="n">
        <f aca="false">H25*0.12</f>
        <v>0.24</v>
      </c>
      <c r="J25" s="13" t="n">
        <f aca="false">H25+I25</f>
        <v>2.24</v>
      </c>
    </row>
    <row r="26" customFormat="false" ht="21.75" hidden="false" customHeight="true" outlineLevel="0" collapsed="false">
      <c r="A26" s="6" t="n">
        <v>13</v>
      </c>
      <c r="B26" s="7" t="s">
        <v>55</v>
      </c>
      <c r="C26" s="8" t="s">
        <v>131</v>
      </c>
      <c r="D26" s="6" t="s">
        <v>50</v>
      </c>
      <c r="E26" s="6" t="s">
        <v>58</v>
      </c>
      <c r="F26" s="6" t="n">
        <v>1</v>
      </c>
      <c r="G26" s="9" t="n">
        <v>1</v>
      </c>
      <c r="H26" s="9" t="n">
        <f aca="false">F26*G26</f>
        <v>1</v>
      </c>
      <c r="I26" s="9" t="n">
        <f aca="false">H26*0.12</f>
        <v>0.12</v>
      </c>
      <c r="J26" s="9" t="n">
        <f aca="false">H26+I26</f>
        <v>1.12</v>
      </c>
    </row>
    <row r="27" customFormat="false" ht="18" hidden="false" customHeight="true" outlineLevel="0" collapsed="false">
      <c r="A27" s="5" t="s">
        <v>65</v>
      </c>
      <c r="B27" s="5"/>
      <c r="C27" s="5"/>
      <c r="D27" s="5"/>
      <c r="E27" s="5"/>
      <c r="F27" s="5"/>
      <c r="G27" s="5"/>
      <c r="H27" s="5"/>
      <c r="I27" s="5"/>
      <c r="J27" s="5"/>
    </row>
    <row r="28" customFormat="false" ht="21.75" hidden="false" customHeight="true" outlineLevel="0" collapsed="false">
      <c r="A28" s="10" t="n">
        <v>14</v>
      </c>
      <c r="B28" s="11" t="s">
        <v>66</v>
      </c>
      <c r="C28" s="12" t="s">
        <v>110</v>
      </c>
      <c r="D28" s="10" t="s">
        <v>50</v>
      </c>
      <c r="E28" s="10" t="s">
        <v>58</v>
      </c>
      <c r="F28" s="10" t="n">
        <v>1</v>
      </c>
      <c r="G28" s="13" t="n">
        <v>30</v>
      </c>
      <c r="H28" s="13" t="n">
        <f aca="false">F28*G28</f>
        <v>30</v>
      </c>
      <c r="I28" s="13" t="n">
        <f aca="false">H28*0.12</f>
        <v>3.6</v>
      </c>
      <c r="J28" s="13" t="n">
        <f aca="false">H28+I28</f>
        <v>33.6</v>
      </c>
    </row>
    <row r="29" customFormat="false" ht="21.75" hidden="false" customHeight="true" outlineLevel="0" collapsed="false">
      <c r="A29" s="6" t="n">
        <v>15</v>
      </c>
      <c r="B29" s="7" t="s">
        <v>66</v>
      </c>
      <c r="C29" s="8" t="s">
        <v>68</v>
      </c>
      <c r="D29" s="6" t="s">
        <v>50</v>
      </c>
      <c r="E29" s="6" t="s">
        <v>58</v>
      </c>
      <c r="F29" s="6" t="n">
        <v>1</v>
      </c>
      <c r="G29" s="9" t="n">
        <v>0</v>
      </c>
      <c r="H29" s="9" t="n">
        <f aca="false">F29*G29</f>
        <v>0</v>
      </c>
      <c r="I29" s="9" t="n">
        <f aca="false">H29*0.12</f>
        <v>0</v>
      </c>
      <c r="J29" s="9" t="n">
        <f aca="false">H29+I29</f>
        <v>0</v>
      </c>
    </row>
    <row r="30" customFormat="false" ht="21.75" hidden="false" customHeight="true" outlineLevel="0" collapsed="false">
      <c r="A30" s="10" t="n">
        <v>16</v>
      </c>
      <c r="B30" s="11" t="s">
        <v>66</v>
      </c>
      <c r="C30" s="12" t="s">
        <v>69</v>
      </c>
      <c r="D30" s="10" t="s">
        <v>50</v>
      </c>
      <c r="E30" s="10" t="s">
        <v>58</v>
      </c>
      <c r="F30" s="10" t="n">
        <v>1</v>
      </c>
      <c r="G30" s="13" t="n">
        <v>3.5</v>
      </c>
      <c r="H30" s="13" t="n">
        <f aca="false">F30*G30</f>
        <v>3.5</v>
      </c>
      <c r="I30" s="13" t="n">
        <f aca="false">H30*0.12</f>
        <v>0.42</v>
      </c>
      <c r="J30" s="13" t="n">
        <f aca="false">H30+I30</f>
        <v>3.92</v>
      </c>
    </row>
    <row r="31" customFormat="false" ht="21.75" hidden="false" customHeight="true" outlineLevel="0" collapsed="false">
      <c r="A31" s="6" t="n">
        <v>17</v>
      </c>
      <c r="B31" s="7" t="s">
        <v>66</v>
      </c>
      <c r="C31" s="8" t="s">
        <v>70</v>
      </c>
      <c r="D31" s="6" t="s">
        <v>50</v>
      </c>
      <c r="E31" s="6" t="s">
        <v>58</v>
      </c>
      <c r="F31" s="6" t="n">
        <v>1</v>
      </c>
      <c r="G31" s="9" t="n">
        <v>3.5</v>
      </c>
      <c r="H31" s="9" t="n">
        <f aca="false">F31*G31</f>
        <v>3.5</v>
      </c>
      <c r="I31" s="9" t="n">
        <f aca="false">H31*0.12</f>
        <v>0.42</v>
      </c>
      <c r="J31" s="9" t="n">
        <f aca="false">H31+I31</f>
        <v>3.92</v>
      </c>
    </row>
    <row r="32" customFormat="false" ht="18" hidden="false" customHeight="true" outlineLevel="0" collapsed="false">
      <c r="A32" s="5" t="s">
        <v>71</v>
      </c>
      <c r="B32" s="5"/>
      <c r="C32" s="5"/>
      <c r="D32" s="5"/>
      <c r="E32" s="5"/>
      <c r="F32" s="5"/>
      <c r="G32" s="5"/>
      <c r="H32" s="5"/>
      <c r="I32" s="5"/>
      <c r="J32" s="5"/>
    </row>
    <row r="33" customFormat="false" ht="21.75" hidden="false" customHeight="true" outlineLevel="0" collapsed="false">
      <c r="A33" s="10" t="n">
        <v>18</v>
      </c>
      <c r="B33" s="11" t="s">
        <v>72</v>
      </c>
      <c r="C33" s="12" t="s">
        <v>73</v>
      </c>
      <c r="D33" s="10" t="s">
        <v>50</v>
      </c>
      <c r="E33" s="10" t="s">
        <v>58</v>
      </c>
      <c r="F33" s="10" t="n">
        <v>1</v>
      </c>
      <c r="G33" s="13" t="n">
        <v>5</v>
      </c>
      <c r="H33" s="13" t="n">
        <f aca="false">F33*G33</f>
        <v>5</v>
      </c>
      <c r="I33" s="13" t="n">
        <f aca="false">H33*0.18</f>
        <v>0.9</v>
      </c>
      <c r="J33" s="13" t="n">
        <f aca="false">H33+I33</f>
        <v>5.9</v>
      </c>
    </row>
    <row r="34" customFormat="false" ht="21.75" hidden="false" customHeight="true" outlineLevel="0" collapsed="false">
      <c r="A34" s="6" t="n">
        <v>19</v>
      </c>
      <c r="B34" s="7" t="s">
        <v>72</v>
      </c>
      <c r="C34" s="8" t="s">
        <v>74</v>
      </c>
      <c r="D34" s="6" t="s">
        <v>50</v>
      </c>
      <c r="E34" s="6" t="s">
        <v>58</v>
      </c>
      <c r="F34" s="6" t="n">
        <v>1</v>
      </c>
      <c r="G34" s="9" t="n">
        <v>5</v>
      </c>
      <c r="H34" s="9" t="n">
        <f aca="false">F34*G34</f>
        <v>5</v>
      </c>
      <c r="I34" s="9" t="n">
        <f aca="false">H34*0.18</f>
        <v>0.9</v>
      </c>
      <c r="J34" s="9" t="n">
        <f aca="false">H34+I34</f>
        <v>5.9</v>
      </c>
    </row>
    <row r="35" customFormat="false" ht="21.75" hidden="false" customHeight="true" outlineLevel="0" collapsed="false">
      <c r="A35" s="10" t="n">
        <v>20</v>
      </c>
      <c r="B35" s="11" t="s">
        <v>72</v>
      </c>
      <c r="C35" s="12" t="s">
        <v>75</v>
      </c>
      <c r="D35" s="10" t="s">
        <v>50</v>
      </c>
      <c r="E35" s="10" t="s">
        <v>76</v>
      </c>
      <c r="F35" s="10" t="n">
        <v>1</v>
      </c>
      <c r="G35" s="13" t="n">
        <v>12</v>
      </c>
      <c r="H35" s="13" t="n">
        <f aca="false">F35*G35</f>
        <v>12</v>
      </c>
      <c r="I35" s="13" t="n">
        <f aca="false">H35*0.18</f>
        <v>2.16</v>
      </c>
      <c r="J35" s="13" t="n">
        <f aca="false">H35+I35</f>
        <v>14.16</v>
      </c>
    </row>
    <row r="36" customFormat="false" ht="21.75" hidden="false" customHeight="true" outlineLevel="0" collapsed="false">
      <c r="A36" s="6" t="n">
        <v>21</v>
      </c>
      <c r="B36" s="7" t="s">
        <v>72</v>
      </c>
      <c r="C36" s="8" t="s">
        <v>77</v>
      </c>
      <c r="D36" s="6" t="s">
        <v>50</v>
      </c>
      <c r="E36" s="6" t="s">
        <v>76</v>
      </c>
      <c r="F36" s="6" t="n">
        <v>0.2</v>
      </c>
      <c r="G36" s="9" t="n">
        <v>115</v>
      </c>
      <c r="H36" s="9" t="n">
        <f aca="false">F36*G36</f>
        <v>23</v>
      </c>
      <c r="I36" s="9" t="n">
        <f aca="false">H36*0.18</f>
        <v>4.14</v>
      </c>
      <c r="J36" s="9" t="n">
        <f aca="false">H36+I36</f>
        <v>27.14</v>
      </c>
    </row>
    <row r="37" customFormat="false" ht="21.75" hidden="false" customHeight="true" outlineLevel="0" collapsed="false">
      <c r="A37" s="10" t="n">
        <v>22</v>
      </c>
      <c r="B37" s="11" t="s">
        <v>72</v>
      </c>
      <c r="C37" s="12" t="s">
        <v>78</v>
      </c>
      <c r="D37" s="10" t="s">
        <v>50</v>
      </c>
      <c r="E37" s="10" t="s">
        <v>79</v>
      </c>
      <c r="F37" s="10" t="n">
        <v>2</v>
      </c>
      <c r="G37" s="13" t="n">
        <v>1.35</v>
      </c>
      <c r="H37" s="13" t="n">
        <f aca="false">F37*G37</f>
        <v>2.7</v>
      </c>
      <c r="I37" s="13" t="n">
        <f aca="false">H37*0.18</f>
        <v>0.486</v>
      </c>
      <c r="J37" s="13" t="n">
        <f aca="false">H37+I37</f>
        <v>3.186</v>
      </c>
    </row>
    <row r="38" customFormat="false" ht="21.75" hidden="false" customHeight="true" outlineLevel="0" collapsed="false">
      <c r="A38" s="6" t="n">
        <v>23</v>
      </c>
      <c r="B38" s="7" t="s">
        <v>72</v>
      </c>
      <c r="C38" s="8" t="s">
        <v>80</v>
      </c>
      <c r="D38" s="6" t="s">
        <v>50</v>
      </c>
      <c r="E38" s="6" t="s">
        <v>58</v>
      </c>
      <c r="F38" s="6" t="n">
        <v>0.07</v>
      </c>
      <c r="G38" s="9" t="n">
        <v>168</v>
      </c>
      <c r="H38" s="9" t="n">
        <f aca="false">F38*G38</f>
        <v>11.76</v>
      </c>
      <c r="I38" s="9" t="n">
        <f aca="false">H38*0.18</f>
        <v>2.1168</v>
      </c>
      <c r="J38" s="9" t="n">
        <f aca="false">H38+I38</f>
        <v>13.8768</v>
      </c>
    </row>
    <row r="39" customFormat="false" ht="21.75" hidden="false" customHeight="true" outlineLevel="0" collapsed="false">
      <c r="A39" s="10" t="n">
        <v>24</v>
      </c>
      <c r="B39" s="11" t="s">
        <v>72</v>
      </c>
      <c r="C39" s="12" t="s">
        <v>81</v>
      </c>
      <c r="D39" s="10" t="s">
        <v>82</v>
      </c>
      <c r="E39" s="10" t="s">
        <v>83</v>
      </c>
      <c r="F39" s="10" t="n">
        <v>0.1</v>
      </c>
      <c r="G39" s="13" t="n">
        <v>54</v>
      </c>
      <c r="H39" s="13" t="n">
        <f aca="false">F39*G39</f>
        <v>5.4</v>
      </c>
      <c r="I39" s="13" t="n">
        <f aca="false">H39*0.18</f>
        <v>0.972</v>
      </c>
      <c r="J39" s="13" t="n">
        <f aca="false">H39+I39</f>
        <v>6.372</v>
      </c>
    </row>
    <row r="40" customFormat="false" ht="18" hidden="false" customHeight="true" outlineLevel="0" collapsed="false">
      <c r="A40" s="5" t="s">
        <v>84</v>
      </c>
      <c r="B40" s="5"/>
      <c r="C40" s="5"/>
      <c r="D40" s="5"/>
      <c r="E40" s="5"/>
      <c r="F40" s="5"/>
      <c r="G40" s="5"/>
      <c r="H40" s="5"/>
      <c r="I40" s="5"/>
      <c r="J40" s="5"/>
    </row>
    <row r="41" customFormat="false" ht="21.75" hidden="false" customHeight="true" outlineLevel="0" collapsed="false">
      <c r="A41" s="6" t="n">
        <v>25</v>
      </c>
      <c r="B41" s="7" t="s">
        <v>85</v>
      </c>
      <c r="C41" s="8" t="s">
        <v>86</v>
      </c>
      <c r="D41" s="6" t="s">
        <v>87</v>
      </c>
      <c r="E41" s="6" t="s">
        <v>58</v>
      </c>
      <c r="F41" s="6" t="n">
        <v>1</v>
      </c>
      <c r="G41" s="9" t="n">
        <v>1000</v>
      </c>
      <c r="H41" s="9" t="n">
        <f aca="false">F41*G41</f>
        <v>1000</v>
      </c>
      <c r="I41" s="9" t="n">
        <f aca="false">H41*0</f>
        <v>0</v>
      </c>
      <c r="J41" s="9" t="n">
        <f aca="false">H41+I41</f>
        <v>1000</v>
      </c>
    </row>
    <row r="42" customFormat="false" ht="21.75" hidden="false" customHeight="true" outlineLevel="0" collapsed="false">
      <c r="A42" s="10" t="n">
        <v>26</v>
      </c>
      <c r="B42" s="11" t="s">
        <v>88</v>
      </c>
      <c r="C42" s="12" t="s">
        <v>89</v>
      </c>
      <c r="D42" s="10" t="s">
        <v>87</v>
      </c>
      <c r="E42" s="10" t="s">
        <v>58</v>
      </c>
      <c r="F42" s="10" t="n">
        <v>1</v>
      </c>
      <c r="G42" s="13" t="n">
        <v>450</v>
      </c>
      <c r="H42" s="13" t="n">
        <f aca="false">F42*G42</f>
        <v>450</v>
      </c>
      <c r="I42" s="13" t="n">
        <f aca="false">H42*0</f>
        <v>0</v>
      </c>
      <c r="J42" s="13" t="n">
        <f aca="false">H42+I42</f>
        <v>450</v>
      </c>
    </row>
    <row r="44" customFormat="false" ht="21.75" hidden="false" customHeight="true" outlineLevel="0" collapsed="false">
      <c r="A44" s="14" t="s">
        <v>90</v>
      </c>
      <c r="B44" s="14"/>
      <c r="C44" s="14"/>
      <c r="D44" s="14"/>
      <c r="E44" s="14"/>
      <c r="F44" s="14"/>
      <c r="G44" s="14"/>
      <c r="H44" s="15" t="n">
        <f aca="false">H10+H12+H14+H15+H16+H18+H19+H20+H22+H23+H24+H25+H26+H28+H29+H30+H31+H33+H34+H35+H36+H37+H38+H39+H41+H42</f>
        <v>45743.11</v>
      </c>
      <c r="I44" s="15" t="n">
        <f aca="false">I10+I12+I14+I15+I16+I18+I19+I20+I22+I23+I24+I25+I26+I28+I29+I30+I31+I33+I34+I35+I36+I37+I38+I39+I41+I42</f>
        <v>5033.5098</v>
      </c>
      <c r="J44" s="15" t="n">
        <f aca="false">J10+J12+J14+J15+J16+J18+J19+J20+J22+J23+J24+J25+J26+J28+J29+J30+J31+J33+J34+J35+J36+J37+J38+J39+J41+J42</f>
        <v>50776.6198</v>
      </c>
    </row>
    <row r="45" customFormat="false" ht="18" hidden="false" customHeight="true" outlineLevel="0" collapsed="false">
      <c r="A45" s="16" t="s">
        <v>91</v>
      </c>
      <c r="B45" s="16"/>
      <c r="C45" s="16"/>
      <c r="D45" s="16"/>
      <c r="E45" s="16"/>
      <c r="F45" s="16"/>
      <c r="G45" s="16"/>
      <c r="H45" s="17"/>
      <c r="I45" s="17"/>
      <c r="J45" s="17"/>
    </row>
    <row r="47" customFormat="false" ht="39.75" hidden="false" customHeight="true" outlineLevel="0" collapsed="false">
      <c r="A47" s="18" t="s">
        <v>154</v>
      </c>
      <c r="B47" s="18"/>
      <c r="C47" s="18"/>
      <c r="D47" s="18"/>
      <c r="E47" s="18"/>
      <c r="F47" s="18"/>
      <c r="G47" s="18"/>
      <c r="H47" s="18"/>
      <c r="I47" s="18"/>
      <c r="J47" s="18"/>
    </row>
  </sheetData>
  <mergeCells count="32">
    <mergeCell ref="A1:J1"/>
    <mergeCell ref="A2:B2"/>
    <mergeCell ref="C2:E2"/>
    <mergeCell ref="F2:G2"/>
    <mergeCell ref="H2:J2"/>
    <mergeCell ref="A3:B3"/>
    <mergeCell ref="C3:E3"/>
    <mergeCell ref="F3:G3"/>
    <mergeCell ref="H3:J3"/>
    <mergeCell ref="A4:B4"/>
    <mergeCell ref="C4:E4"/>
    <mergeCell ref="F4:G4"/>
    <mergeCell ref="H4:J4"/>
    <mergeCell ref="A5:B5"/>
    <mergeCell ref="C5:E5"/>
    <mergeCell ref="F5:G5"/>
    <mergeCell ref="H5:J5"/>
    <mergeCell ref="A6:B6"/>
    <mergeCell ref="C6:E6"/>
    <mergeCell ref="F6:G6"/>
    <mergeCell ref="H6:J6"/>
    <mergeCell ref="A9:J9"/>
    <mergeCell ref="A11:J11"/>
    <mergeCell ref="A13:J13"/>
    <mergeCell ref="A17:J17"/>
    <mergeCell ref="A21:J21"/>
    <mergeCell ref="A27:J27"/>
    <mergeCell ref="A32:J32"/>
    <mergeCell ref="A40:J40"/>
    <mergeCell ref="A44:G44"/>
    <mergeCell ref="A45:G45"/>
    <mergeCell ref="A47:J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2026-06-29T08:48:13Z</dcterms:created>
  <dc:creator>openpyxl</dc:creator>
  <dc:description/>
  <dc:language>en-US</dc:language>
  <cp:lastModifiedBy/>
  <dcterms:modified xsi:type="dcterms:W3CDTF">2026-06-29T08:48:13Z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