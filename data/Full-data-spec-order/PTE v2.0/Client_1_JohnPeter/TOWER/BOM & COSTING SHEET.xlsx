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TA-2023\PAKKAR TANVEER EXPORTS  - 01-04-2023\REQURIMENTS -2023\JOHN  Peter s.r.l\AW2627-PROTO\"/>
    </mc:Choice>
  </mc:AlternateContent>
  <xr:revisionPtr revIDLastSave="0" documentId="13_ncr:1_{34682687-0CDE-4639-87C0-65A8A0EC3A8B}" xr6:coauthVersionLast="47" xr6:coauthVersionMax="47" xr10:uidLastSave="{00000000-0000-0000-0000-000000000000}"/>
  <bookViews>
    <workbookView xWindow="-108" yWindow="-108" windowWidth="23256" windowHeight="12456" firstSheet="13" activeTab="19" xr2:uid="{2B3B55A4-53C2-4591-A59E-E78514894AB8}"/>
  </bookViews>
  <sheets>
    <sheet name="Sheet1" sheetId="4" r:id="rId1"/>
    <sheet name="Sheet2" sheetId="6" r:id="rId2"/>
    <sheet name="REESE MIX " sheetId="5" r:id="rId3"/>
    <sheet name="ROBERT " sheetId="1" r:id="rId4"/>
    <sheet name="TOWER" sheetId="2" r:id="rId5"/>
    <sheet name=" ISLAY" sheetId="3" r:id="rId6"/>
    <sheet name="SHINOBI KNIT" sheetId="7" r:id="rId7"/>
    <sheet name=" SHINOBI KNIT + DETACHABEL " sheetId="8" r:id="rId8"/>
    <sheet name=" FRANCIS KNIT WITH DETACHABLE P" sheetId="9" r:id="rId9"/>
    <sheet name=" FRANCIS KNIT  +DETACHABLE" sheetId="10" r:id="rId10"/>
    <sheet name="FRANCIS KNIT DETACHABLE FUR " sheetId="11" r:id="rId11"/>
    <sheet name="FRANCIS KNIT  +DETACHABLE FUR " sheetId="12" r:id="rId12"/>
    <sheet name=" CLEREMONT " sheetId="13" r:id="rId13"/>
    <sheet name=" VEST -1" sheetId="14" r:id="rId14"/>
    <sheet name=" VEST -2" sheetId="15" r:id="rId15"/>
    <sheet name="SANDY " sheetId="16" r:id="rId16"/>
    <sheet name=" ALMA + KNITS" sheetId="17" r:id="rId17"/>
    <sheet name=" DANTA WINTER MIX " sheetId="18" r:id="rId18"/>
    <sheet name="CARNABY " sheetId="20" r:id="rId19"/>
    <sheet name="FRASCAP KNIT " sheetId="19" r:id="rId20"/>
  </sheets>
  <definedNames>
    <definedName name="_xlnm.Print_Area" localSheetId="16">' ALMA + KNITS'!$A$1:$N$70</definedName>
    <definedName name="_xlnm.Print_Area" localSheetId="12">' CLEREMONT '!$A$1:$L$72</definedName>
    <definedName name="_xlnm.Print_Area" localSheetId="17">' DANTA WINTER MIX '!$A$1:$N$72</definedName>
    <definedName name="_xlnm.Print_Area" localSheetId="8">' FRANCIS KNIT WITH DETACHABLE P'!$A$1:$N$74</definedName>
    <definedName name="_xlnm.Print_Area" localSheetId="5">' ISLAY'!$A$1:$N$76</definedName>
    <definedName name="_xlnm.Print_Area" localSheetId="7">' SHINOBI KNIT + DETACHABEL '!$A$1:$L$65</definedName>
    <definedName name="_xlnm.Print_Area" localSheetId="13">' VEST -1'!$A$1:$L$63</definedName>
    <definedName name="_xlnm.Print_Area" localSheetId="10">'FRANCIS KNIT DETACHABLE FUR '!$A$1:$L$75</definedName>
    <definedName name="_xlnm.Print_Area" localSheetId="2">'REESE MIX '!$A$1:$N$70</definedName>
    <definedName name="_xlnm.Print_Area" localSheetId="3">'ROBERT '!$A$1:$L$72</definedName>
    <definedName name="_xlnm.Print_Area" localSheetId="0">Sheet1!$A$1:$K$14</definedName>
    <definedName name="_xlnm.Print_Area" localSheetId="4">TOWER!$A$40:$N$68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1" i="19" l="1"/>
  <c r="F57" i="19"/>
  <c r="F56" i="19"/>
  <c r="I56" i="19" s="1"/>
  <c r="F55" i="19"/>
  <c r="C55" i="19"/>
  <c r="G54" i="19"/>
  <c r="H54" i="19" s="1"/>
  <c r="I54" i="19" s="1"/>
  <c r="F54" i="19"/>
  <c r="F53" i="19"/>
  <c r="E53" i="19"/>
  <c r="G53" i="19" s="1"/>
  <c r="H53" i="19" s="1"/>
  <c r="I53" i="19" s="1"/>
  <c r="F52" i="19"/>
  <c r="E52" i="19"/>
  <c r="G52" i="19" s="1"/>
  <c r="H52" i="19" s="1"/>
  <c r="I52" i="19" s="1"/>
  <c r="F51" i="19"/>
  <c r="E51" i="19"/>
  <c r="G51" i="19" s="1"/>
  <c r="H51" i="19" s="1"/>
  <c r="I51" i="19" s="1"/>
  <c r="G50" i="19"/>
  <c r="H50" i="19" s="1"/>
  <c r="I50" i="19" s="1"/>
  <c r="F50" i="19"/>
  <c r="E50" i="19"/>
  <c r="G49" i="19"/>
  <c r="H49" i="19" s="1"/>
  <c r="I49" i="19" s="1"/>
  <c r="F49" i="19"/>
  <c r="E49" i="19"/>
  <c r="F48" i="19"/>
  <c r="E48" i="19"/>
  <c r="G48" i="19" s="1"/>
  <c r="H48" i="19" s="1"/>
  <c r="I48" i="19" s="1"/>
  <c r="H46" i="19"/>
  <c r="E46" i="19"/>
  <c r="F46" i="19" s="1"/>
  <c r="I46" i="19" s="1"/>
  <c r="I45" i="19"/>
  <c r="H45" i="19"/>
  <c r="F45" i="19"/>
  <c r="H44" i="19"/>
  <c r="F44" i="19"/>
  <c r="I44" i="19" s="1"/>
  <c r="I43" i="19"/>
  <c r="K43" i="19" s="1"/>
  <c r="L43" i="19" s="1"/>
  <c r="F43" i="19"/>
  <c r="H42" i="19"/>
  <c r="F42" i="19"/>
  <c r="I42" i="19" s="1"/>
  <c r="I41" i="19"/>
  <c r="H41" i="19"/>
  <c r="F41" i="19"/>
  <c r="I40" i="19"/>
  <c r="H40" i="19"/>
  <c r="F40" i="19"/>
  <c r="F38" i="19"/>
  <c r="I38" i="19" s="1"/>
  <c r="H37" i="19"/>
  <c r="F37" i="19"/>
  <c r="I37" i="19" s="1"/>
  <c r="H36" i="19"/>
  <c r="F36" i="19"/>
  <c r="I36" i="19" s="1"/>
  <c r="I35" i="19"/>
  <c r="H35" i="19"/>
  <c r="F35" i="19"/>
  <c r="I34" i="19"/>
  <c r="H34" i="19"/>
  <c r="F34" i="19"/>
  <c r="H32" i="19"/>
  <c r="F32" i="19"/>
  <c r="I32" i="19" s="1"/>
  <c r="I31" i="19"/>
  <c r="K31" i="19" s="1"/>
  <c r="L31" i="19" s="1"/>
  <c r="H31" i="19"/>
  <c r="F31" i="19"/>
  <c r="I30" i="19"/>
  <c r="K30" i="19" s="1"/>
  <c r="H30" i="19"/>
  <c r="F30" i="19"/>
  <c r="H29" i="19"/>
  <c r="F29" i="19"/>
  <c r="I29" i="19" s="1"/>
  <c r="C29" i="19"/>
  <c r="N28" i="19"/>
  <c r="I28" i="19"/>
  <c r="H28" i="19"/>
  <c r="F28" i="19"/>
  <c r="C28" i="19"/>
  <c r="N27" i="19"/>
  <c r="I27" i="19"/>
  <c r="K27" i="19" s="1"/>
  <c r="L27" i="19" s="1"/>
  <c r="H27" i="19"/>
  <c r="F27" i="19"/>
  <c r="C27" i="19"/>
  <c r="I25" i="19"/>
  <c r="H25" i="19"/>
  <c r="F25" i="19"/>
  <c r="H24" i="19"/>
  <c r="F24" i="19"/>
  <c r="I24" i="19" s="1"/>
  <c r="I23" i="19"/>
  <c r="K23" i="19" s="1"/>
  <c r="L23" i="19" s="1"/>
  <c r="H23" i="19"/>
  <c r="F23" i="19"/>
  <c r="I21" i="19"/>
  <c r="H21" i="19"/>
  <c r="F21" i="19"/>
  <c r="C21" i="19"/>
  <c r="F20" i="19"/>
  <c r="H20" i="19" s="1"/>
  <c r="I20" i="19" s="1"/>
  <c r="C20" i="19"/>
  <c r="I19" i="19"/>
  <c r="F19" i="19"/>
  <c r="H19" i="19" s="1"/>
  <c r="C19" i="19"/>
  <c r="H16" i="19"/>
  <c r="F16" i="19"/>
  <c r="I16" i="19" s="1"/>
  <c r="H15" i="19"/>
  <c r="F15" i="19"/>
  <c r="I15" i="19" s="1"/>
  <c r="F9" i="19"/>
  <c r="I9" i="19" s="1"/>
  <c r="B60" i="20"/>
  <c r="F56" i="20"/>
  <c r="F55" i="20"/>
  <c r="I55" i="20" s="1"/>
  <c r="F54" i="20"/>
  <c r="C54" i="20"/>
  <c r="G53" i="20"/>
  <c r="H53" i="20" s="1"/>
  <c r="F53" i="20"/>
  <c r="F52" i="20"/>
  <c r="E52" i="20"/>
  <c r="G52" i="20" s="1"/>
  <c r="H52" i="20" s="1"/>
  <c r="F51" i="20"/>
  <c r="E51" i="20"/>
  <c r="G51" i="20" s="1"/>
  <c r="H51" i="20" s="1"/>
  <c r="I51" i="20" s="1"/>
  <c r="F50" i="20"/>
  <c r="E50" i="20"/>
  <c r="G50" i="20" s="1"/>
  <c r="H50" i="20" s="1"/>
  <c r="I50" i="20" s="1"/>
  <c r="F49" i="20"/>
  <c r="E49" i="20"/>
  <c r="G49" i="20" s="1"/>
  <c r="H49" i="20" s="1"/>
  <c r="I49" i="20" s="1"/>
  <c r="F48" i="20"/>
  <c r="E48" i="20"/>
  <c r="G48" i="20" s="1"/>
  <c r="H48" i="20" s="1"/>
  <c r="F47" i="20"/>
  <c r="E47" i="20"/>
  <c r="G47" i="20" s="1"/>
  <c r="H47" i="20" s="1"/>
  <c r="I47" i="20" s="1"/>
  <c r="E45" i="20"/>
  <c r="H45" i="20" s="1"/>
  <c r="H44" i="20"/>
  <c r="F44" i="20"/>
  <c r="I44" i="20" s="1"/>
  <c r="K44" i="20" s="1"/>
  <c r="L44" i="20" s="1"/>
  <c r="H43" i="20"/>
  <c r="F43" i="20"/>
  <c r="I43" i="20" s="1"/>
  <c r="I42" i="20"/>
  <c r="K42" i="20" s="1"/>
  <c r="L42" i="20" s="1"/>
  <c r="F42" i="20"/>
  <c r="H41" i="20"/>
  <c r="F41" i="20"/>
  <c r="I41" i="20" s="1"/>
  <c r="H40" i="20"/>
  <c r="F40" i="20"/>
  <c r="I40" i="20" s="1"/>
  <c r="H39" i="20"/>
  <c r="F39" i="20"/>
  <c r="I39" i="20" s="1"/>
  <c r="F37" i="20"/>
  <c r="I37" i="20" s="1"/>
  <c r="H36" i="20"/>
  <c r="F36" i="20"/>
  <c r="I36" i="20" s="1"/>
  <c r="H35" i="20"/>
  <c r="F35" i="20"/>
  <c r="I35" i="20" s="1"/>
  <c r="H33" i="20"/>
  <c r="F33" i="20"/>
  <c r="I33" i="20" s="1"/>
  <c r="K33" i="20" s="1"/>
  <c r="L33" i="20" s="1"/>
  <c r="H32" i="20"/>
  <c r="F32" i="20"/>
  <c r="I32" i="20" s="1"/>
  <c r="H31" i="20"/>
  <c r="F31" i="20"/>
  <c r="I31" i="20" s="1"/>
  <c r="H29" i="20"/>
  <c r="F29" i="20"/>
  <c r="I29" i="20" s="1"/>
  <c r="H25" i="20"/>
  <c r="F25" i="20"/>
  <c r="I25" i="20" s="1"/>
  <c r="H24" i="20"/>
  <c r="F24" i="20"/>
  <c r="I24" i="20" s="1"/>
  <c r="H23" i="20"/>
  <c r="F23" i="20"/>
  <c r="I23" i="20" s="1"/>
  <c r="F21" i="20"/>
  <c r="I21" i="20" s="1"/>
  <c r="C21" i="20"/>
  <c r="F20" i="20"/>
  <c r="H20" i="20" s="1"/>
  <c r="I20" i="20" s="1"/>
  <c r="C20" i="20"/>
  <c r="F19" i="20"/>
  <c r="I19" i="20" s="1"/>
  <c r="C19" i="20"/>
  <c r="H17" i="20"/>
  <c r="F17" i="20"/>
  <c r="I17" i="20" s="1"/>
  <c r="K17" i="20" s="1"/>
  <c r="L17" i="20" s="1"/>
  <c r="C17" i="20"/>
  <c r="H16" i="20"/>
  <c r="F16" i="20"/>
  <c r="I16" i="20" s="1"/>
  <c r="C16" i="20"/>
  <c r="I9" i="20"/>
  <c r="K9" i="20" s="1"/>
  <c r="K11" i="20" s="1"/>
  <c r="H9" i="20"/>
  <c r="H11" i="20" s="1"/>
  <c r="E48" i="16"/>
  <c r="B59" i="18"/>
  <c r="C53" i="18" s="1"/>
  <c r="E53" i="18" s="1"/>
  <c r="G53" i="18" s="1"/>
  <c r="H53" i="18" s="1"/>
  <c r="I53" i="18" s="1"/>
  <c r="F20" i="18"/>
  <c r="C20" i="18"/>
  <c r="I20" i="18"/>
  <c r="H20" i="18"/>
  <c r="P21" i="18"/>
  <c r="F55" i="18"/>
  <c r="F54" i="18"/>
  <c r="I54" i="18" s="1"/>
  <c r="F53" i="18"/>
  <c r="H52" i="18"/>
  <c r="G52" i="18"/>
  <c r="F52" i="18"/>
  <c r="F51" i="18"/>
  <c r="E51" i="18"/>
  <c r="G51" i="18" s="1"/>
  <c r="H51" i="18" s="1"/>
  <c r="I51" i="18" s="1"/>
  <c r="F50" i="18"/>
  <c r="E50" i="18"/>
  <c r="G50" i="18" s="1"/>
  <c r="H50" i="18" s="1"/>
  <c r="F49" i="18"/>
  <c r="E49" i="18"/>
  <c r="G49" i="18" s="1"/>
  <c r="H49" i="18" s="1"/>
  <c r="I49" i="18" s="1"/>
  <c r="F48" i="18"/>
  <c r="E48" i="18"/>
  <c r="G48" i="18" s="1"/>
  <c r="H48" i="18" s="1"/>
  <c r="G47" i="18"/>
  <c r="H47" i="18" s="1"/>
  <c r="I47" i="18" s="1"/>
  <c r="F47" i="18"/>
  <c r="E47" i="18"/>
  <c r="F46" i="18"/>
  <c r="E46" i="18"/>
  <c r="G46" i="18" s="1"/>
  <c r="H46" i="18" s="1"/>
  <c r="I46" i="18" s="1"/>
  <c r="E44" i="18"/>
  <c r="F44" i="18" s="1"/>
  <c r="I44" i="18" s="1"/>
  <c r="H43" i="18"/>
  <c r="F43" i="18"/>
  <c r="I43" i="18" s="1"/>
  <c r="H42" i="18"/>
  <c r="F42" i="18"/>
  <c r="I42" i="18" s="1"/>
  <c r="I41" i="18"/>
  <c r="K41" i="18" s="1"/>
  <c r="F41" i="18"/>
  <c r="H40" i="18"/>
  <c r="F40" i="18"/>
  <c r="I40" i="18" s="1"/>
  <c r="I39" i="18"/>
  <c r="H39" i="18"/>
  <c r="F39" i="18"/>
  <c r="H38" i="18"/>
  <c r="F38" i="18"/>
  <c r="I38" i="18" s="1"/>
  <c r="F36" i="18"/>
  <c r="I36" i="18" s="1"/>
  <c r="H35" i="18"/>
  <c r="F35" i="18"/>
  <c r="I35" i="18" s="1"/>
  <c r="I34" i="18"/>
  <c r="H34" i="18"/>
  <c r="F34" i="18"/>
  <c r="H32" i="18"/>
  <c r="F32" i="18"/>
  <c r="I32" i="18" s="1"/>
  <c r="H31" i="18"/>
  <c r="F31" i="18"/>
  <c r="I31" i="18" s="1"/>
  <c r="N30" i="18"/>
  <c r="I30" i="18"/>
  <c r="K30" i="18" s="1"/>
  <c r="H30" i="18"/>
  <c r="F30" i="18"/>
  <c r="H29" i="18"/>
  <c r="F29" i="18"/>
  <c r="I29" i="18" s="1"/>
  <c r="H27" i="18"/>
  <c r="F27" i="18"/>
  <c r="I27" i="18" s="1"/>
  <c r="H26" i="18"/>
  <c r="F26" i="18"/>
  <c r="I26" i="18" s="1"/>
  <c r="K26" i="18" s="1"/>
  <c r="H25" i="18"/>
  <c r="F25" i="18"/>
  <c r="I25" i="18" s="1"/>
  <c r="F23" i="18"/>
  <c r="I23" i="18" s="1"/>
  <c r="C23" i="18"/>
  <c r="F22" i="18"/>
  <c r="H22" i="18" s="1"/>
  <c r="I22" i="18" s="1"/>
  <c r="C22" i="18"/>
  <c r="F21" i="18"/>
  <c r="H21" i="18" s="1"/>
  <c r="C21" i="18"/>
  <c r="H19" i="18"/>
  <c r="F19" i="18"/>
  <c r="I19" i="18" s="1"/>
  <c r="C19" i="18"/>
  <c r="H18" i="18"/>
  <c r="F18" i="18"/>
  <c r="I18" i="18" s="1"/>
  <c r="C18" i="18"/>
  <c r="F9" i="18"/>
  <c r="H9" i="18" s="1"/>
  <c r="H13" i="18" s="1"/>
  <c r="E55" i="19" l="1"/>
  <c r="G55" i="19" s="1"/>
  <c r="H55" i="19" s="1"/>
  <c r="I55" i="19" s="1"/>
  <c r="K55" i="19" s="1"/>
  <c r="L55" i="19" s="1"/>
  <c r="L25" i="19"/>
  <c r="K38" i="19"/>
  <c r="L38" i="19" s="1"/>
  <c r="L28" i="19"/>
  <c r="K50" i="19"/>
  <c r="L50" i="19"/>
  <c r="K9" i="19"/>
  <c r="K11" i="19" s="1"/>
  <c r="I11" i="19"/>
  <c r="G12" i="19" s="1"/>
  <c r="L9" i="19"/>
  <c r="L11" i="19" s="1"/>
  <c r="G13" i="19" s="1"/>
  <c r="D70" i="19" s="1"/>
  <c r="K44" i="19"/>
  <c r="L44" i="19" s="1"/>
  <c r="L15" i="19"/>
  <c r="K15" i="19"/>
  <c r="I47" i="19"/>
  <c r="K20" i="19"/>
  <c r="L20" i="19" s="1"/>
  <c r="K24" i="19"/>
  <c r="L24" i="19" s="1"/>
  <c r="K29" i="19"/>
  <c r="L29" i="19" s="1"/>
  <c r="K32" i="19"/>
  <c r="L32" i="19" s="1"/>
  <c r="K36" i="19"/>
  <c r="L36" i="19" s="1"/>
  <c r="K52" i="19"/>
  <c r="L52" i="19" s="1"/>
  <c r="K56" i="19"/>
  <c r="L56" i="19"/>
  <c r="K42" i="19"/>
  <c r="L42" i="19" s="1"/>
  <c r="K46" i="19"/>
  <c r="L46" i="19"/>
  <c r="K54" i="19"/>
  <c r="L54" i="19" s="1"/>
  <c r="K48" i="19"/>
  <c r="L48" i="19"/>
  <c r="K51" i="19"/>
  <c r="L51" i="19"/>
  <c r="L35" i="19"/>
  <c r="L40" i="19"/>
  <c r="H47" i="19"/>
  <c r="K16" i="19"/>
  <c r="L16" i="19" s="1"/>
  <c r="K37" i="19"/>
  <c r="L37" i="19" s="1"/>
  <c r="L41" i="19"/>
  <c r="K49" i="19"/>
  <c r="L49" i="19" s="1"/>
  <c r="K53" i="19"/>
  <c r="L53" i="19" s="1"/>
  <c r="K25" i="19"/>
  <c r="K34" i="19"/>
  <c r="L34" i="19" s="1"/>
  <c r="K40" i="19"/>
  <c r="K45" i="19"/>
  <c r="L45" i="19" s="1"/>
  <c r="K21" i="19"/>
  <c r="L21" i="19" s="1"/>
  <c r="L30" i="19"/>
  <c r="H9" i="19"/>
  <c r="H11" i="19" s="1"/>
  <c r="K19" i="19"/>
  <c r="L19" i="19" s="1"/>
  <c r="K28" i="19"/>
  <c r="K35" i="19"/>
  <c r="K41" i="19"/>
  <c r="E54" i="20"/>
  <c r="G54" i="20" s="1"/>
  <c r="H54" i="20" s="1"/>
  <c r="I54" i="20" s="1"/>
  <c r="K54" i="20" s="1"/>
  <c r="L54" i="20" s="1"/>
  <c r="I53" i="20"/>
  <c r="I48" i="20"/>
  <c r="K48" i="20" s="1"/>
  <c r="L48" i="20" s="1"/>
  <c r="I52" i="20"/>
  <c r="K35" i="20"/>
  <c r="L35" i="20" s="1"/>
  <c r="K21" i="20"/>
  <c r="L21" i="20" s="1"/>
  <c r="K41" i="20"/>
  <c r="L41" i="20" s="1"/>
  <c r="H21" i="20"/>
  <c r="K16" i="20"/>
  <c r="L16" i="20" s="1"/>
  <c r="I11" i="20"/>
  <c r="G13" i="20" s="1"/>
  <c r="K32" i="20"/>
  <c r="L32" i="20" s="1"/>
  <c r="K20" i="20"/>
  <c r="L20" i="20" s="1"/>
  <c r="K29" i="20"/>
  <c r="L29" i="20" s="1"/>
  <c r="K47" i="20"/>
  <c r="L47" i="20" s="1"/>
  <c r="K36" i="20"/>
  <c r="L36" i="20" s="1"/>
  <c r="K39" i="20"/>
  <c r="L39" i="20" s="1"/>
  <c r="K51" i="20"/>
  <c r="L51" i="20" s="1"/>
  <c r="K55" i="20"/>
  <c r="L55" i="20"/>
  <c r="K50" i="20"/>
  <c r="L50" i="20" s="1"/>
  <c r="G59" i="20"/>
  <c r="F69" i="20"/>
  <c r="K40" i="20"/>
  <c r="L40" i="20" s="1"/>
  <c r="K53" i="20"/>
  <c r="L53" i="20"/>
  <c r="K19" i="20"/>
  <c r="L19" i="20" s="1"/>
  <c r="K31" i="20"/>
  <c r="L31" i="20"/>
  <c r="K49" i="20"/>
  <c r="L49" i="20" s="1"/>
  <c r="K24" i="20"/>
  <c r="L24" i="20" s="1"/>
  <c r="K43" i="20"/>
  <c r="L43" i="20" s="1"/>
  <c r="K23" i="20"/>
  <c r="L23" i="20" s="1"/>
  <c r="K52" i="20"/>
  <c r="L52" i="20" s="1"/>
  <c r="L9" i="20"/>
  <c r="L11" i="20" s="1"/>
  <c r="G14" i="20" s="1"/>
  <c r="D69" i="20" s="1"/>
  <c r="K25" i="20"/>
  <c r="L25" i="20" s="1"/>
  <c r="K37" i="20"/>
  <c r="L37" i="20" s="1"/>
  <c r="F45" i="20"/>
  <c r="I45" i="20" s="1"/>
  <c r="I46" i="20" s="1"/>
  <c r="H19" i="20"/>
  <c r="K20" i="18"/>
  <c r="L20" i="18" s="1"/>
  <c r="I52" i="18"/>
  <c r="K52" i="18" s="1"/>
  <c r="L52" i="18" s="1"/>
  <c r="H44" i="18"/>
  <c r="I48" i="18"/>
  <c r="I50" i="18"/>
  <c r="K50" i="18" s="1"/>
  <c r="L50" i="18" s="1"/>
  <c r="K53" i="18"/>
  <c r="L53" i="18" s="1"/>
  <c r="K25" i="18"/>
  <c r="L25" i="18" s="1"/>
  <c r="K18" i="18"/>
  <c r="L18" i="18" s="1"/>
  <c r="K42" i="18"/>
  <c r="L42" i="18" s="1"/>
  <c r="K44" i="18"/>
  <c r="L44" i="18" s="1"/>
  <c r="K48" i="18"/>
  <c r="L48" i="18" s="1"/>
  <c r="K49" i="18"/>
  <c r="L49" i="18" s="1"/>
  <c r="K22" i="18"/>
  <c r="L22" i="18" s="1"/>
  <c r="K27" i="18"/>
  <c r="L27" i="18" s="1"/>
  <c r="K31" i="18"/>
  <c r="L31" i="18" s="1"/>
  <c r="K54" i="18"/>
  <c r="L54" i="18" s="1"/>
  <c r="K43" i="18"/>
  <c r="L43" i="18" s="1"/>
  <c r="L47" i="18"/>
  <c r="K47" i="18"/>
  <c r="K51" i="18"/>
  <c r="L51" i="18"/>
  <c r="K36" i="18"/>
  <c r="L36" i="18"/>
  <c r="K38" i="18"/>
  <c r="L38" i="18" s="1"/>
  <c r="K46" i="18"/>
  <c r="L46" i="18" s="1"/>
  <c r="K19" i="18"/>
  <c r="L19" i="18" s="1"/>
  <c r="K23" i="18"/>
  <c r="L23" i="18" s="1"/>
  <c r="K29" i="18"/>
  <c r="L29" i="18" s="1"/>
  <c r="K32" i="18"/>
  <c r="L32" i="18" s="1"/>
  <c r="K35" i="18"/>
  <c r="L35" i="18" s="1"/>
  <c r="L30" i="18"/>
  <c r="I9" i="18"/>
  <c r="I21" i="18"/>
  <c r="I45" i="18" s="1"/>
  <c r="I55" i="18" s="1"/>
  <c r="L26" i="18"/>
  <c r="L41" i="18"/>
  <c r="K39" i="18"/>
  <c r="L39" i="18" s="1"/>
  <c r="H23" i="18"/>
  <c r="H45" i="18" s="1"/>
  <c r="H55" i="18" s="1"/>
  <c r="K34" i="18"/>
  <c r="L34" i="18" s="1"/>
  <c r="K40" i="18"/>
  <c r="L40" i="18" s="1"/>
  <c r="I57" i="19" l="1"/>
  <c r="H57" i="19"/>
  <c r="G60" i="19"/>
  <c r="F70" i="19"/>
  <c r="L47" i="19"/>
  <c r="L57" i="19" s="1"/>
  <c r="E67" i="19" s="1"/>
  <c r="D71" i="19" s="1"/>
  <c r="D72" i="19"/>
  <c r="D74" i="19" s="1"/>
  <c r="E66" i="19"/>
  <c r="F71" i="19" s="1"/>
  <c r="G61" i="19"/>
  <c r="K47" i="19"/>
  <c r="K57" i="19" s="1"/>
  <c r="I56" i="20"/>
  <c r="H46" i="20"/>
  <c r="H56" i="20" s="1"/>
  <c r="E65" i="20"/>
  <c r="F70" i="20" s="1"/>
  <c r="F71" i="20" s="1"/>
  <c r="F73" i="20" s="1"/>
  <c r="G60" i="20"/>
  <c r="G61" i="20" s="1"/>
  <c r="K45" i="20"/>
  <c r="K46" i="20" s="1"/>
  <c r="K56" i="20" s="1"/>
  <c r="L45" i="20"/>
  <c r="L46" i="20" s="1"/>
  <c r="L56" i="20" s="1"/>
  <c r="E66" i="20" s="1"/>
  <c r="D70" i="20" s="1"/>
  <c r="D71" i="20" s="1"/>
  <c r="D73" i="20" s="1"/>
  <c r="E64" i="18"/>
  <c r="F69" i="18" s="1"/>
  <c r="G59" i="18"/>
  <c r="I13" i="18"/>
  <c r="G15" i="18" s="1"/>
  <c r="K9" i="18"/>
  <c r="K13" i="18" s="1"/>
  <c r="K21" i="18"/>
  <c r="K45" i="18" s="1"/>
  <c r="K55" i="18" s="1"/>
  <c r="F72" i="19" l="1"/>
  <c r="F74" i="19" s="1"/>
  <c r="G62" i="19"/>
  <c r="H63" i="20"/>
  <c r="B62" i="20" s="1"/>
  <c r="B63" i="20" s="1"/>
  <c r="G63" i="20"/>
  <c r="L9" i="18"/>
  <c r="L13" i="18" s="1"/>
  <c r="G16" i="18" s="1"/>
  <c r="D68" i="18" s="1"/>
  <c r="F68" i="18"/>
  <c r="F70" i="18" s="1"/>
  <c r="F72" i="18" s="1"/>
  <c r="G58" i="18"/>
  <c r="G60" i="18" s="1"/>
  <c r="L21" i="18"/>
  <c r="L45" i="18" s="1"/>
  <c r="L55" i="18" s="1"/>
  <c r="E65" i="18" s="1"/>
  <c r="D69" i="18" s="1"/>
  <c r="H64" i="19" l="1"/>
  <c r="B63" i="19" s="1"/>
  <c r="B64" i="19" s="1"/>
  <c r="G64" i="19"/>
  <c r="G62" i="18"/>
  <c r="H62" i="18"/>
  <c r="B61" i="18" s="1"/>
  <c r="B62" i="18" s="1"/>
  <c r="D70" i="18"/>
  <c r="D72" i="18" s="1"/>
  <c r="C23" i="14" l="1"/>
  <c r="F23" i="14"/>
  <c r="H23" i="14"/>
  <c r="I23" i="14"/>
  <c r="K23" i="14"/>
  <c r="L23" i="14" s="1"/>
  <c r="F32" i="13"/>
  <c r="I32" i="13" s="1"/>
  <c r="H32" i="13"/>
  <c r="F28" i="13"/>
  <c r="I28" i="13" s="1"/>
  <c r="N28" i="13"/>
  <c r="H28" i="13"/>
  <c r="C28" i="13"/>
  <c r="F30" i="13"/>
  <c r="I30" i="13" s="1"/>
  <c r="H30" i="13"/>
  <c r="F24" i="8"/>
  <c r="I24" i="8"/>
  <c r="C24" i="8"/>
  <c r="H24" i="8"/>
  <c r="H42" i="12"/>
  <c r="N27" i="11"/>
  <c r="H27" i="11"/>
  <c r="F27" i="11"/>
  <c r="I27" i="11" s="1"/>
  <c r="C27" i="11"/>
  <c r="B55" i="10"/>
  <c r="F30" i="9"/>
  <c r="I30" i="9" s="1"/>
  <c r="K30" i="9" s="1"/>
  <c r="H30" i="9"/>
  <c r="N27" i="9"/>
  <c r="N28" i="9"/>
  <c r="F31" i="1"/>
  <c r="I31" i="1" s="1"/>
  <c r="H31" i="1"/>
  <c r="F32" i="2"/>
  <c r="I32" i="2" s="1"/>
  <c r="H32" i="2"/>
  <c r="F30" i="2"/>
  <c r="I30" i="2" s="1"/>
  <c r="H30" i="2"/>
  <c r="H29" i="2"/>
  <c r="F29" i="2"/>
  <c r="I29" i="2" s="1"/>
  <c r="K32" i="13" l="1"/>
  <c r="L32" i="13" s="1"/>
  <c r="K28" i="13"/>
  <c r="L28" i="13" s="1"/>
  <c r="K30" i="13"/>
  <c r="L30" i="13" s="1"/>
  <c r="K24" i="8"/>
  <c r="L24" i="8" s="1"/>
  <c r="K27" i="11"/>
  <c r="L27" i="11" s="1"/>
  <c r="L30" i="9"/>
  <c r="K31" i="1"/>
  <c r="L31" i="1" s="1"/>
  <c r="K32" i="2"/>
  <c r="L32" i="2" s="1"/>
  <c r="K30" i="2"/>
  <c r="L30" i="2"/>
  <c r="K29" i="2"/>
  <c r="L29" i="2" s="1"/>
  <c r="H18" i="17" l="1"/>
  <c r="F18" i="17"/>
  <c r="C18" i="17"/>
  <c r="N27" i="17"/>
  <c r="F17" i="17"/>
  <c r="I17" i="17" s="1"/>
  <c r="C17" i="17"/>
  <c r="H17" i="17"/>
  <c r="C17" i="5"/>
  <c r="F17" i="5"/>
  <c r="I17" i="5" s="1"/>
  <c r="H17" i="5"/>
  <c r="N33" i="3"/>
  <c r="I33" i="3"/>
  <c r="H33" i="3"/>
  <c r="F32" i="3"/>
  <c r="N30" i="3"/>
  <c r="F30" i="3"/>
  <c r="I30" i="3" s="1"/>
  <c r="H30" i="3"/>
  <c r="I32" i="3"/>
  <c r="H32" i="3"/>
  <c r="N29" i="3"/>
  <c r="F29" i="3"/>
  <c r="I29" i="3" s="1"/>
  <c r="H29" i="3"/>
  <c r="C16" i="17"/>
  <c r="C15" i="17"/>
  <c r="C14" i="17"/>
  <c r="H14" i="17"/>
  <c r="F14" i="17"/>
  <c r="I14" i="17" s="1"/>
  <c r="B57" i="17"/>
  <c r="C51" i="17" s="1"/>
  <c r="F53" i="17"/>
  <c r="F52" i="17"/>
  <c r="I52" i="17" s="1"/>
  <c r="F51" i="17"/>
  <c r="G50" i="17"/>
  <c r="H50" i="17" s="1"/>
  <c r="I50" i="17" s="1"/>
  <c r="F50" i="17"/>
  <c r="F49" i="17"/>
  <c r="E49" i="17"/>
  <c r="G49" i="17" s="1"/>
  <c r="H49" i="17" s="1"/>
  <c r="F48" i="17"/>
  <c r="E48" i="17"/>
  <c r="G48" i="17" s="1"/>
  <c r="H48" i="17" s="1"/>
  <c r="F47" i="17"/>
  <c r="E47" i="17"/>
  <c r="G47" i="17" s="1"/>
  <c r="H47" i="17" s="1"/>
  <c r="I47" i="17" s="1"/>
  <c r="F46" i="17"/>
  <c r="E46" i="17"/>
  <c r="G46" i="17" s="1"/>
  <c r="H46" i="17" s="1"/>
  <c r="I46" i="17" s="1"/>
  <c r="F45" i="17"/>
  <c r="E45" i="17"/>
  <c r="G45" i="17" s="1"/>
  <c r="H45" i="17" s="1"/>
  <c r="F44" i="17"/>
  <c r="E44" i="17"/>
  <c r="G44" i="17" s="1"/>
  <c r="H44" i="17" s="1"/>
  <c r="E42" i="17"/>
  <c r="H42" i="17" s="1"/>
  <c r="H41" i="17"/>
  <c r="F41" i="17"/>
  <c r="I41" i="17" s="1"/>
  <c r="K41" i="17" s="1"/>
  <c r="L41" i="17" s="1"/>
  <c r="H40" i="17"/>
  <c r="F40" i="17"/>
  <c r="I40" i="17" s="1"/>
  <c r="I39" i="17"/>
  <c r="K39" i="17" s="1"/>
  <c r="L39" i="17" s="1"/>
  <c r="F39" i="17"/>
  <c r="H38" i="17"/>
  <c r="F38" i="17"/>
  <c r="I38" i="17" s="1"/>
  <c r="K38" i="17" s="1"/>
  <c r="H37" i="17"/>
  <c r="F37" i="17"/>
  <c r="I37" i="17" s="1"/>
  <c r="H36" i="17"/>
  <c r="F36" i="17"/>
  <c r="I36" i="17" s="1"/>
  <c r="K36" i="17" s="1"/>
  <c r="L36" i="17" s="1"/>
  <c r="F34" i="17"/>
  <c r="I34" i="17" s="1"/>
  <c r="H33" i="17"/>
  <c r="F33" i="17"/>
  <c r="I33" i="17" s="1"/>
  <c r="H32" i="17"/>
  <c r="F32" i="17"/>
  <c r="I32" i="17" s="1"/>
  <c r="K32" i="17" s="1"/>
  <c r="H31" i="17"/>
  <c r="F31" i="17"/>
  <c r="I31" i="17" s="1"/>
  <c r="H30" i="17"/>
  <c r="F30" i="17"/>
  <c r="I30" i="17" s="1"/>
  <c r="K30" i="17" s="1"/>
  <c r="L30" i="17" s="1"/>
  <c r="H28" i="17"/>
  <c r="F28" i="17"/>
  <c r="I28" i="17" s="1"/>
  <c r="H27" i="17"/>
  <c r="F27" i="17"/>
  <c r="I27" i="17" s="1"/>
  <c r="K27" i="17" s="1"/>
  <c r="L27" i="17" s="1"/>
  <c r="C27" i="17"/>
  <c r="H25" i="17"/>
  <c r="F25" i="17"/>
  <c r="I25" i="17" s="1"/>
  <c r="K25" i="17" s="1"/>
  <c r="H24" i="17"/>
  <c r="F24" i="17"/>
  <c r="I24" i="17" s="1"/>
  <c r="H23" i="17"/>
  <c r="F23" i="17"/>
  <c r="I23" i="17" s="1"/>
  <c r="K23" i="17" s="1"/>
  <c r="L23" i="17" s="1"/>
  <c r="F21" i="17"/>
  <c r="I21" i="17" s="1"/>
  <c r="C21" i="17"/>
  <c r="F20" i="17"/>
  <c r="H20" i="17" s="1"/>
  <c r="I20" i="17" s="1"/>
  <c r="C20" i="17"/>
  <c r="F19" i="17"/>
  <c r="I19" i="17" s="1"/>
  <c r="C19" i="17"/>
  <c r="H16" i="17"/>
  <c r="F16" i="17"/>
  <c r="I16" i="17" s="1"/>
  <c r="K16" i="17" s="1"/>
  <c r="H15" i="17"/>
  <c r="F15" i="17"/>
  <c r="I15" i="17" s="1"/>
  <c r="F9" i="17"/>
  <c r="H9" i="17" s="1"/>
  <c r="H11" i="17" s="1"/>
  <c r="F19" i="16"/>
  <c r="I19" i="16" s="1"/>
  <c r="K19" i="16" s="1"/>
  <c r="L19" i="16" s="1"/>
  <c r="C19" i="16"/>
  <c r="H19" i="16"/>
  <c r="F18" i="16"/>
  <c r="I18" i="16" s="1"/>
  <c r="C18" i="16"/>
  <c r="H18" i="16"/>
  <c r="F17" i="16"/>
  <c r="I17" i="16" s="1"/>
  <c r="C17" i="16"/>
  <c r="H17" i="16"/>
  <c r="F16" i="16"/>
  <c r="I16" i="16" s="1"/>
  <c r="C16" i="16"/>
  <c r="H16" i="16"/>
  <c r="F9" i="16"/>
  <c r="F50" i="16"/>
  <c r="F49" i="16"/>
  <c r="I49" i="16" s="1"/>
  <c r="F48" i="16"/>
  <c r="G47" i="16"/>
  <c r="H47" i="16" s="1"/>
  <c r="F47" i="16"/>
  <c r="F46" i="16"/>
  <c r="E46" i="16"/>
  <c r="G46" i="16" s="1"/>
  <c r="H46" i="16" s="1"/>
  <c r="I46" i="16" s="1"/>
  <c r="F45" i="16"/>
  <c r="E45" i="16"/>
  <c r="G45" i="16" s="1"/>
  <c r="H45" i="16" s="1"/>
  <c r="I45" i="16" s="1"/>
  <c r="F44" i="16"/>
  <c r="E44" i="16"/>
  <c r="G44" i="16" s="1"/>
  <c r="H44" i="16" s="1"/>
  <c r="F43" i="16"/>
  <c r="E43" i="16"/>
  <c r="G43" i="16" s="1"/>
  <c r="H43" i="16" s="1"/>
  <c r="F42" i="16"/>
  <c r="E42" i="16"/>
  <c r="G42" i="16" s="1"/>
  <c r="H42" i="16" s="1"/>
  <c r="I42" i="16" s="1"/>
  <c r="F41" i="16"/>
  <c r="E41" i="16"/>
  <c r="G41" i="16" s="1"/>
  <c r="H41" i="16" s="1"/>
  <c r="E39" i="16"/>
  <c r="F39" i="16" s="1"/>
  <c r="I39" i="16" s="1"/>
  <c r="H38" i="16"/>
  <c r="F38" i="16"/>
  <c r="I38" i="16" s="1"/>
  <c r="H37" i="16"/>
  <c r="F37" i="16"/>
  <c r="I37" i="16" s="1"/>
  <c r="I36" i="16"/>
  <c r="K36" i="16" s="1"/>
  <c r="F36" i="16"/>
  <c r="I35" i="16"/>
  <c r="H35" i="16"/>
  <c r="F35" i="16"/>
  <c r="H34" i="16"/>
  <c r="F34" i="16"/>
  <c r="I34" i="16" s="1"/>
  <c r="H33" i="16"/>
  <c r="F33" i="16"/>
  <c r="I33" i="16" s="1"/>
  <c r="F31" i="16"/>
  <c r="I31" i="16" s="1"/>
  <c r="H30" i="16"/>
  <c r="F30" i="16"/>
  <c r="I30" i="16" s="1"/>
  <c r="H29" i="16"/>
  <c r="F29" i="16"/>
  <c r="I29" i="16" s="1"/>
  <c r="H27" i="16"/>
  <c r="F27" i="16"/>
  <c r="I27" i="16" s="1"/>
  <c r="K27" i="16" s="1"/>
  <c r="H26" i="16"/>
  <c r="F26" i="16"/>
  <c r="I26" i="16" s="1"/>
  <c r="H25" i="16"/>
  <c r="F25" i="16"/>
  <c r="I25" i="16" s="1"/>
  <c r="F23" i="16"/>
  <c r="I23" i="16" s="1"/>
  <c r="C23" i="16"/>
  <c r="F22" i="16"/>
  <c r="H22" i="16" s="1"/>
  <c r="I22" i="16" s="1"/>
  <c r="C22" i="16"/>
  <c r="F21" i="16"/>
  <c r="I21" i="16" s="1"/>
  <c r="C21" i="16"/>
  <c r="B49" i="15"/>
  <c r="C43" i="15" s="1"/>
  <c r="E43" i="15" s="1"/>
  <c r="G43" i="15" s="1"/>
  <c r="H43" i="15" s="1"/>
  <c r="I43" i="15" s="1"/>
  <c r="F45" i="15"/>
  <c r="I44" i="15"/>
  <c r="K44" i="15" s="1"/>
  <c r="F44" i="15"/>
  <c r="F43" i="15"/>
  <c r="G42" i="15"/>
  <c r="H42" i="15" s="1"/>
  <c r="I42" i="15" s="1"/>
  <c r="F42" i="15"/>
  <c r="G41" i="15"/>
  <c r="H41" i="15" s="1"/>
  <c r="I41" i="15" s="1"/>
  <c r="F41" i="15"/>
  <c r="E41" i="15"/>
  <c r="F40" i="15"/>
  <c r="E40" i="15"/>
  <c r="G40" i="15" s="1"/>
  <c r="H40" i="15" s="1"/>
  <c r="I40" i="15" s="1"/>
  <c r="F39" i="15"/>
  <c r="E39" i="15"/>
  <c r="G39" i="15" s="1"/>
  <c r="H39" i="15" s="1"/>
  <c r="I39" i="15" s="1"/>
  <c r="F38" i="15"/>
  <c r="E38" i="15"/>
  <c r="G38" i="15" s="1"/>
  <c r="H38" i="15" s="1"/>
  <c r="I38" i="15" s="1"/>
  <c r="G37" i="15"/>
  <c r="H37" i="15" s="1"/>
  <c r="I37" i="15" s="1"/>
  <c r="F37" i="15"/>
  <c r="E37" i="15"/>
  <c r="G36" i="15"/>
  <c r="H36" i="15" s="1"/>
  <c r="I36" i="15" s="1"/>
  <c r="F36" i="15"/>
  <c r="E36" i="15"/>
  <c r="E34" i="15"/>
  <c r="H34" i="15" s="1"/>
  <c r="H33" i="15"/>
  <c r="F33" i="15"/>
  <c r="I33" i="15" s="1"/>
  <c r="H32" i="15"/>
  <c r="F32" i="15"/>
  <c r="I32" i="15" s="1"/>
  <c r="I31" i="15"/>
  <c r="K31" i="15" s="1"/>
  <c r="F31" i="15"/>
  <c r="I30" i="15"/>
  <c r="K30" i="15" s="1"/>
  <c r="H30" i="15"/>
  <c r="F30" i="15"/>
  <c r="H29" i="15"/>
  <c r="F29" i="15"/>
  <c r="I29" i="15" s="1"/>
  <c r="H28" i="15"/>
  <c r="F28" i="15"/>
  <c r="I28" i="15" s="1"/>
  <c r="F26" i="15"/>
  <c r="I26" i="15" s="1"/>
  <c r="I25" i="15"/>
  <c r="K25" i="15" s="1"/>
  <c r="L25" i="15" s="1"/>
  <c r="H25" i="15"/>
  <c r="F25" i="15"/>
  <c r="I24" i="15"/>
  <c r="K24" i="15" s="1"/>
  <c r="H24" i="15"/>
  <c r="F24" i="15"/>
  <c r="I21" i="15"/>
  <c r="K21" i="15" s="1"/>
  <c r="L21" i="15" s="1"/>
  <c r="H21" i="15"/>
  <c r="F21" i="15"/>
  <c r="C21" i="15"/>
  <c r="F19" i="15"/>
  <c r="H19" i="15" s="1"/>
  <c r="I19" i="15" s="1"/>
  <c r="C19" i="15"/>
  <c r="F18" i="15"/>
  <c r="I18" i="15" s="1"/>
  <c r="C18" i="15"/>
  <c r="G16" i="15"/>
  <c r="H16" i="15" s="1"/>
  <c r="F16" i="15"/>
  <c r="I16" i="15" s="1"/>
  <c r="C16" i="15"/>
  <c r="I15" i="15"/>
  <c r="K15" i="15" s="1"/>
  <c r="H15" i="15"/>
  <c r="F15" i="15"/>
  <c r="C15" i="15"/>
  <c r="H14" i="15"/>
  <c r="F14" i="15"/>
  <c r="I14" i="15" s="1"/>
  <c r="C14" i="15"/>
  <c r="F9" i="15"/>
  <c r="H9" i="15" s="1"/>
  <c r="H10" i="15" s="1"/>
  <c r="F22" i="14"/>
  <c r="I22" i="14" s="1"/>
  <c r="H22" i="14"/>
  <c r="C22" i="14"/>
  <c r="B50" i="14"/>
  <c r="C44" i="14" s="1"/>
  <c r="E44" i="14" s="1"/>
  <c r="G44" i="14" s="1"/>
  <c r="H44" i="14" s="1"/>
  <c r="I44" i="14" s="1"/>
  <c r="F46" i="14"/>
  <c r="F45" i="14"/>
  <c r="I45" i="14" s="1"/>
  <c r="K45" i="14" s="1"/>
  <c r="F44" i="14"/>
  <c r="G43" i="14"/>
  <c r="H43" i="14" s="1"/>
  <c r="F43" i="14"/>
  <c r="F42" i="14"/>
  <c r="E42" i="14"/>
  <c r="G42" i="14" s="1"/>
  <c r="H42" i="14" s="1"/>
  <c r="F41" i="14"/>
  <c r="E41" i="14"/>
  <c r="G41" i="14" s="1"/>
  <c r="H41" i="14" s="1"/>
  <c r="F40" i="14"/>
  <c r="E40" i="14"/>
  <c r="G40" i="14" s="1"/>
  <c r="H40" i="14" s="1"/>
  <c r="F39" i="14"/>
  <c r="E39" i="14"/>
  <c r="G39" i="14" s="1"/>
  <c r="H39" i="14" s="1"/>
  <c r="I39" i="14" s="1"/>
  <c r="F38" i="14"/>
  <c r="E38" i="14"/>
  <c r="G38" i="14" s="1"/>
  <c r="H38" i="14" s="1"/>
  <c r="F37" i="14"/>
  <c r="E37" i="14"/>
  <c r="G37" i="14" s="1"/>
  <c r="H37" i="14" s="1"/>
  <c r="I37" i="14" s="1"/>
  <c r="F35" i="14"/>
  <c r="I35" i="14" s="1"/>
  <c r="E35" i="14"/>
  <c r="H35" i="14" s="1"/>
  <c r="H34" i="14"/>
  <c r="F34" i="14"/>
  <c r="I34" i="14" s="1"/>
  <c r="H33" i="14"/>
  <c r="F33" i="14"/>
  <c r="I33" i="14" s="1"/>
  <c r="I32" i="14"/>
  <c r="F32" i="14"/>
  <c r="H31" i="14"/>
  <c r="F31" i="14"/>
  <c r="I31" i="14" s="1"/>
  <c r="H30" i="14"/>
  <c r="F30" i="14"/>
  <c r="I30" i="14" s="1"/>
  <c r="H29" i="14"/>
  <c r="F29" i="14"/>
  <c r="I29" i="14" s="1"/>
  <c r="F27" i="14"/>
  <c r="I27" i="14" s="1"/>
  <c r="H26" i="14"/>
  <c r="F26" i="14"/>
  <c r="I26" i="14" s="1"/>
  <c r="H25" i="14"/>
  <c r="F25" i="14"/>
  <c r="I25" i="14" s="1"/>
  <c r="F20" i="14"/>
  <c r="H20" i="14" s="1"/>
  <c r="I20" i="14" s="1"/>
  <c r="C20" i="14"/>
  <c r="F19" i="14"/>
  <c r="I19" i="14" s="1"/>
  <c r="C19" i="14"/>
  <c r="H17" i="14"/>
  <c r="G17" i="14"/>
  <c r="F17" i="14"/>
  <c r="I17" i="14" s="1"/>
  <c r="C17" i="14"/>
  <c r="H16" i="14"/>
  <c r="F16" i="14"/>
  <c r="I16" i="14" s="1"/>
  <c r="C16" i="14"/>
  <c r="H15" i="14"/>
  <c r="F15" i="14"/>
  <c r="I15" i="14" s="1"/>
  <c r="C15" i="14"/>
  <c r="F9" i="14"/>
  <c r="H9" i="14" s="1"/>
  <c r="H10" i="14" s="1"/>
  <c r="B59" i="13"/>
  <c r="C53" i="13" s="1"/>
  <c r="E53" i="13" s="1"/>
  <c r="G53" i="13" s="1"/>
  <c r="H53" i="13" s="1"/>
  <c r="F55" i="13"/>
  <c r="F54" i="13"/>
  <c r="I54" i="13" s="1"/>
  <c r="F53" i="13"/>
  <c r="G52" i="13"/>
  <c r="H52" i="13" s="1"/>
  <c r="F52" i="13"/>
  <c r="F51" i="13"/>
  <c r="E51" i="13"/>
  <c r="G51" i="13" s="1"/>
  <c r="H51" i="13" s="1"/>
  <c r="F50" i="13"/>
  <c r="E50" i="13"/>
  <c r="G50" i="13" s="1"/>
  <c r="H50" i="13" s="1"/>
  <c r="F49" i="13"/>
  <c r="E49" i="13"/>
  <c r="G49" i="13" s="1"/>
  <c r="H49" i="13" s="1"/>
  <c r="F48" i="13"/>
  <c r="E48" i="13"/>
  <c r="G48" i="13" s="1"/>
  <c r="H48" i="13" s="1"/>
  <c r="I48" i="13" s="1"/>
  <c r="F47" i="13"/>
  <c r="E47" i="13"/>
  <c r="G47" i="13" s="1"/>
  <c r="H47" i="13" s="1"/>
  <c r="F46" i="13"/>
  <c r="E46" i="13"/>
  <c r="G46" i="13" s="1"/>
  <c r="H46" i="13" s="1"/>
  <c r="E44" i="13"/>
  <c r="H44" i="13" s="1"/>
  <c r="H43" i="13"/>
  <c r="F43" i="13"/>
  <c r="I43" i="13" s="1"/>
  <c r="H42" i="13"/>
  <c r="F42" i="13"/>
  <c r="I42" i="13" s="1"/>
  <c r="I41" i="13"/>
  <c r="K41" i="13" s="1"/>
  <c r="F41" i="13"/>
  <c r="H40" i="13"/>
  <c r="F40" i="13"/>
  <c r="I40" i="13" s="1"/>
  <c r="H39" i="13"/>
  <c r="F39" i="13"/>
  <c r="I39" i="13" s="1"/>
  <c r="H38" i="13"/>
  <c r="F38" i="13"/>
  <c r="I38" i="13" s="1"/>
  <c r="F36" i="13"/>
  <c r="I36" i="13" s="1"/>
  <c r="H35" i="13"/>
  <c r="F35" i="13"/>
  <c r="I35" i="13" s="1"/>
  <c r="K35" i="13" s="1"/>
  <c r="L35" i="13" s="1"/>
  <c r="H34" i="13"/>
  <c r="F34" i="13"/>
  <c r="I34" i="13" s="1"/>
  <c r="H31" i="13"/>
  <c r="F31" i="13"/>
  <c r="I31" i="13" s="1"/>
  <c r="K31" i="13" s="1"/>
  <c r="L31" i="13" s="1"/>
  <c r="H29" i="13"/>
  <c r="F29" i="13"/>
  <c r="I29" i="13" s="1"/>
  <c r="H27" i="13"/>
  <c r="F27" i="13"/>
  <c r="I27" i="13" s="1"/>
  <c r="I25" i="13"/>
  <c r="H25" i="13"/>
  <c r="F25" i="13"/>
  <c r="H24" i="13"/>
  <c r="F24" i="13"/>
  <c r="I24" i="13" s="1"/>
  <c r="H23" i="13"/>
  <c r="F23" i="13"/>
  <c r="I23" i="13" s="1"/>
  <c r="F21" i="13"/>
  <c r="I21" i="13" s="1"/>
  <c r="K21" i="13" s="1"/>
  <c r="C21" i="13"/>
  <c r="F20" i="13"/>
  <c r="H20" i="13" s="1"/>
  <c r="I20" i="13" s="1"/>
  <c r="C20" i="13"/>
  <c r="F19" i="13"/>
  <c r="I19" i="13" s="1"/>
  <c r="C19" i="13"/>
  <c r="H17" i="13"/>
  <c r="F17" i="13"/>
  <c r="I17" i="13" s="1"/>
  <c r="C17" i="13"/>
  <c r="H16" i="13"/>
  <c r="F16" i="13"/>
  <c r="I16" i="13" s="1"/>
  <c r="K16" i="13" s="1"/>
  <c r="C16" i="13"/>
  <c r="I9" i="13"/>
  <c r="K9" i="13" s="1"/>
  <c r="K11" i="13" s="1"/>
  <c r="H9" i="13"/>
  <c r="H11" i="13" s="1"/>
  <c r="B55" i="12"/>
  <c r="C50" i="12" s="1"/>
  <c r="E50" i="12" s="1"/>
  <c r="G50" i="12" s="1"/>
  <c r="H50" i="12" s="1"/>
  <c r="I50" i="12" s="1"/>
  <c r="F52" i="12"/>
  <c r="I51" i="12"/>
  <c r="K51" i="12" s="1"/>
  <c r="F51" i="12"/>
  <c r="F50" i="12"/>
  <c r="H49" i="12"/>
  <c r="I49" i="12" s="1"/>
  <c r="G49" i="12"/>
  <c r="F49" i="12"/>
  <c r="F48" i="12"/>
  <c r="E48" i="12"/>
  <c r="G48" i="12" s="1"/>
  <c r="H48" i="12" s="1"/>
  <c r="I48" i="12" s="1"/>
  <c r="F47" i="12"/>
  <c r="E47" i="12"/>
  <c r="G47" i="12" s="1"/>
  <c r="H47" i="12" s="1"/>
  <c r="I47" i="12" s="1"/>
  <c r="F46" i="12"/>
  <c r="E46" i="12"/>
  <c r="G46" i="12" s="1"/>
  <c r="H46" i="12" s="1"/>
  <c r="I46" i="12" s="1"/>
  <c r="F45" i="12"/>
  <c r="E45" i="12"/>
  <c r="G45" i="12" s="1"/>
  <c r="H45" i="12" s="1"/>
  <c r="I45" i="12" s="1"/>
  <c r="G44" i="12"/>
  <c r="H44" i="12" s="1"/>
  <c r="I44" i="12" s="1"/>
  <c r="F44" i="12"/>
  <c r="E44" i="12"/>
  <c r="F43" i="12"/>
  <c r="E43" i="12"/>
  <c r="G43" i="12" s="1"/>
  <c r="H43" i="12" s="1"/>
  <c r="I43" i="12" s="1"/>
  <c r="I41" i="12"/>
  <c r="K41" i="12" s="1"/>
  <c r="H41" i="12"/>
  <c r="F41" i="12"/>
  <c r="H40" i="12"/>
  <c r="F40" i="12"/>
  <c r="I40" i="12" s="1"/>
  <c r="I39" i="12"/>
  <c r="K39" i="12" s="1"/>
  <c r="L39" i="12" s="1"/>
  <c r="H39" i="12"/>
  <c r="F39" i="12"/>
  <c r="H38" i="12"/>
  <c r="I38" i="12" s="1"/>
  <c r="F38" i="12"/>
  <c r="H37" i="12"/>
  <c r="F37" i="12"/>
  <c r="I37" i="12" s="1"/>
  <c r="K36" i="12"/>
  <c r="I36" i="12"/>
  <c r="L36" i="12" s="1"/>
  <c r="H36" i="12"/>
  <c r="F36" i="12"/>
  <c r="H35" i="12"/>
  <c r="F35" i="12"/>
  <c r="I35" i="12" s="1"/>
  <c r="I33" i="12"/>
  <c r="K33" i="12" s="1"/>
  <c r="L33" i="12" s="1"/>
  <c r="F33" i="12"/>
  <c r="H32" i="12"/>
  <c r="F32" i="12"/>
  <c r="I32" i="12" s="1"/>
  <c r="H31" i="12"/>
  <c r="F31" i="12"/>
  <c r="I31" i="12" s="1"/>
  <c r="K30" i="12"/>
  <c r="I30" i="12"/>
  <c r="L30" i="12" s="1"/>
  <c r="H30" i="12"/>
  <c r="F30" i="12"/>
  <c r="H27" i="12"/>
  <c r="F27" i="12"/>
  <c r="I27" i="12" s="1"/>
  <c r="I26" i="12"/>
  <c r="K26" i="12" s="1"/>
  <c r="L26" i="12" s="1"/>
  <c r="H26" i="12"/>
  <c r="F26" i="12"/>
  <c r="I25" i="12"/>
  <c r="K25" i="12" s="1"/>
  <c r="H25" i="12"/>
  <c r="F25" i="12"/>
  <c r="H24" i="12"/>
  <c r="G24" i="12"/>
  <c r="F24" i="12"/>
  <c r="I24" i="12" s="1"/>
  <c r="C24" i="12"/>
  <c r="H22" i="12"/>
  <c r="F22" i="12"/>
  <c r="I22" i="12" s="1"/>
  <c r="I21" i="12"/>
  <c r="H21" i="12"/>
  <c r="F21" i="12"/>
  <c r="H20" i="12"/>
  <c r="F20" i="12"/>
  <c r="I20" i="12" s="1"/>
  <c r="F18" i="12"/>
  <c r="I18" i="12" s="1"/>
  <c r="C18" i="12"/>
  <c r="F17" i="12"/>
  <c r="H17" i="12" s="1"/>
  <c r="I17" i="12" s="1"/>
  <c r="C17" i="12"/>
  <c r="H16" i="12"/>
  <c r="F16" i="12"/>
  <c r="I16" i="12" s="1"/>
  <c r="C16" i="12"/>
  <c r="H14" i="12"/>
  <c r="F14" i="12"/>
  <c r="I14" i="12" s="1"/>
  <c r="C14" i="12"/>
  <c r="H13" i="12"/>
  <c r="F13" i="12"/>
  <c r="I13" i="12" s="1"/>
  <c r="F8" i="12"/>
  <c r="H8" i="12" s="1"/>
  <c r="H10" i="12" s="1"/>
  <c r="G61" i="7"/>
  <c r="B57" i="5"/>
  <c r="F28" i="9"/>
  <c r="I28" i="9" s="1"/>
  <c r="C28" i="9"/>
  <c r="H28" i="9"/>
  <c r="B61" i="11"/>
  <c r="C55" i="11" s="1"/>
  <c r="E55" i="11" s="1"/>
  <c r="G55" i="11" s="1"/>
  <c r="H55" i="11" s="1"/>
  <c r="F57" i="11"/>
  <c r="F56" i="11"/>
  <c r="I56" i="11" s="1"/>
  <c r="F55" i="11"/>
  <c r="H54" i="11"/>
  <c r="I54" i="11" s="1"/>
  <c r="G54" i="11"/>
  <c r="F54" i="11"/>
  <c r="F53" i="11"/>
  <c r="E53" i="11"/>
  <c r="G53" i="11" s="1"/>
  <c r="H53" i="11" s="1"/>
  <c r="I53" i="11" s="1"/>
  <c r="F52" i="11"/>
  <c r="E52" i="11"/>
  <c r="G52" i="11" s="1"/>
  <c r="H52" i="11" s="1"/>
  <c r="I52" i="11" s="1"/>
  <c r="G51" i="11"/>
  <c r="H51" i="11" s="1"/>
  <c r="I51" i="11" s="1"/>
  <c r="F51" i="11"/>
  <c r="E51" i="11"/>
  <c r="F50" i="11"/>
  <c r="E50" i="11"/>
  <c r="G50" i="11" s="1"/>
  <c r="H50" i="11" s="1"/>
  <c r="I50" i="11" s="1"/>
  <c r="F49" i="11"/>
  <c r="E49" i="11"/>
  <c r="G49" i="11" s="1"/>
  <c r="H49" i="11" s="1"/>
  <c r="I49" i="11" s="1"/>
  <c r="G48" i="11"/>
  <c r="H48" i="11" s="1"/>
  <c r="I48" i="11" s="1"/>
  <c r="F48" i="11"/>
  <c r="E48" i="11"/>
  <c r="E46" i="11"/>
  <c r="F46" i="11" s="1"/>
  <c r="I46" i="11" s="1"/>
  <c r="H45" i="11"/>
  <c r="F45" i="11"/>
  <c r="I45" i="11" s="1"/>
  <c r="H44" i="11"/>
  <c r="F44" i="11"/>
  <c r="I44" i="11" s="1"/>
  <c r="I43" i="11"/>
  <c r="F43" i="11"/>
  <c r="H42" i="11"/>
  <c r="F42" i="11"/>
  <c r="I42" i="11" s="1"/>
  <c r="H41" i="11"/>
  <c r="F41" i="11"/>
  <c r="I41" i="11" s="1"/>
  <c r="H40" i="11"/>
  <c r="F40" i="11"/>
  <c r="I40" i="11" s="1"/>
  <c r="F38" i="11"/>
  <c r="I38" i="11" s="1"/>
  <c r="K38" i="11" s="1"/>
  <c r="I37" i="11"/>
  <c r="H37" i="11"/>
  <c r="F37" i="11"/>
  <c r="I36" i="11"/>
  <c r="K36" i="11" s="1"/>
  <c r="L36" i="11" s="1"/>
  <c r="H36" i="11"/>
  <c r="F36" i="11"/>
  <c r="H35" i="11"/>
  <c r="F35" i="11"/>
  <c r="I35" i="11" s="1"/>
  <c r="H34" i="11"/>
  <c r="F34" i="11"/>
  <c r="I34" i="11" s="1"/>
  <c r="H32" i="11"/>
  <c r="F32" i="11"/>
  <c r="I32" i="11" s="1"/>
  <c r="H31" i="11"/>
  <c r="F31" i="11"/>
  <c r="I31" i="11" s="1"/>
  <c r="H30" i="11"/>
  <c r="F30" i="11"/>
  <c r="I30" i="11" s="1"/>
  <c r="H29" i="11"/>
  <c r="F29" i="11"/>
  <c r="I29" i="11" s="1"/>
  <c r="K29" i="11" s="1"/>
  <c r="L29" i="11" s="1"/>
  <c r="C29" i="11"/>
  <c r="H25" i="11"/>
  <c r="F25" i="11"/>
  <c r="I25" i="11" s="1"/>
  <c r="I24" i="11"/>
  <c r="H24" i="11"/>
  <c r="F24" i="11"/>
  <c r="I23" i="11"/>
  <c r="H23" i="11"/>
  <c r="F23" i="11"/>
  <c r="F21" i="11"/>
  <c r="H21" i="11" s="1"/>
  <c r="C21" i="11"/>
  <c r="F20" i="11"/>
  <c r="H20" i="11" s="1"/>
  <c r="I20" i="11" s="1"/>
  <c r="C20" i="11"/>
  <c r="F19" i="11"/>
  <c r="I19" i="11" s="1"/>
  <c r="C19" i="11"/>
  <c r="H16" i="11"/>
  <c r="F16" i="11"/>
  <c r="I16" i="11" s="1"/>
  <c r="H15" i="11"/>
  <c r="F15" i="11"/>
  <c r="I15" i="11" s="1"/>
  <c r="I9" i="11"/>
  <c r="I11" i="11" s="1"/>
  <c r="G12" i="11" s="1"/>
  <c r="H9" i="11"/>
  <c r="H11" i="11" s="1"/>
  <c r="F9" i="11"/>
  <c r="C50" i="10"/>
  <c r="E50" i="10" s="1"/>
  <c r="G50" i="10" s="1"/>
  <c r="H50" i="10" s="1"/>
  <c r="G49" i="10"/>
  <c r="H49" i="10" s="1"/>
  <c r="E48" i="10"/>
  <c r="G48" i="10" s="1"/>
  <c r="H48" i="10" s="1"/>
  <c r="E47" i="10"/>
  <c r="G47" i="10" s="1"/>
  <c r="H47" i="10" s="1"/>
  <c r="E46" i="10"/>
  <c r="G46" i="10" s="1"/>
  <c r="H46" i="10" s="1"/>
  <c r="E45" i="10"/>
  <c r="G45" i="10" s="1"/>
  <c r="H45" i="10" s="1"/>
  <c r="G44" i="10"/>
  <c r="H44" i="10" s="1"/>
  <c r="E44" i="10"/>
  <c r="E43" i="10"/>
  <c r="G43" i="10" s="1"/>
  <c r="H43" i="10" s="1"/>
  <c r="H41" i="10"/>
  <c r="H40" i="10"/>
  <c r="H39" i="10"/>
  <c r="H38" i="10"/>
  <c r="I38" i="10" s="1"/>
  <c r="H37" i="10"/>
  <c r="H36" i="10"/>
  <c r="H35" i="10"/>
  <c r="H32" i="10"/>
  <c r="H31" i="10"/>
  <c r="H30" i="10"/>
  <c r="H27" i="10"/>
  <c r="H26" i="10"/>
  <c r="H25" i="10"/>
  <c r="H24" i="10"/>
  <c r="G24" i="10"/>
  <c r="C24" i="10"/>
  <c r="H22" i="10"/>
  <c r="H21" i="10"/>
  <c r="H20" i="10"/>
  <c r="C18" i="10"/>
  <c r="C17" i="10"/>
  <c r="C16" i="10"/>
  <c r="H14" i="10"/>
  <c r="C14" i="10"/>
  <c r="H13" i="10"/>
  <c r="F45" i="10"/>
  <c r="B61" i="9"/>
  <c r="C55" i="9" s="1"/>
  <c r="F57" i="9"/>
  <c r="F56" i="9"/>
  <c r="I56" i="9" s="1"/>
  <c r="F55" i="9"/>
  <c r="G54" i="9"/>
  <c r="H54" i="9" s="1"/>
  <c r="F54" i="9"/>
  <c r="F53" i="9"/>
  <c r="E53" i="9"/>
  <c r="G53" i="9" s="1"/>
  <c r="H53" i="9" s="1"/>
  <c r="F52" i="9"/>
  <c r="E52" i="9"/>
  <c r="G52" i="9" s="1"/>
  <c r="H52" i="9" s="1"/>
  <c r="I52" i="9" s="1"/>
  <c r="E51" i="9"/>
  <c r="G51" i="9" s="1"/>
  <c r="H51" i="9" s="1"/>
  <c r="E50" i="9"/>
  <c r="G50" i="9" s="1"/>
  <c r="H50" i="9" s="1"/>
  <c r="F49" i="9"/>
  <c r="E49" i="9"/>
  <c r="G49" i="9" s="1"/>
  <c r="H49" i="9" s="1"/>
  <c r="F48" i="9"/>
  <c r="E48" i="9"/>
  <c r="G48" i="9" s="1"/>
  <c r="H48" i="9" s="1"/>
  <c r="E46" i="9"/>
  <c r="F46" i="9" s="1"/>
  <c r="I46" i="9" s="1"/>
  <c r="H45" i="9"/>
  <c r="F45" i="9"/>
  <c r="I45" i="9" s="1"/>
  <c r="H44" i="9"/>
  <c r="F44" i="9"/>
  <c r="I44" i="9" s="1"/>
  <c r="I43" i="9"/>
  <c r="F43" i="9"/>
  <c r="H42" i="9"/>
  <c r="F42" i="9"/>
  <c r="I42" i="9" s="1"/>
  <c r="H41" i="9"/>
  <c r="H40" i="9"/>
  <c r="F40" i="9"/>
  <c r="I40" i="9" s="1"/>
  <c r="F38" i="9"/>
  <c r="I38" i="9" s="1"/>
  <c r="H37" i="9"/>
  <c r="F37" i="9"/>
  <c r="I37" i="9" s="1"/>
  <c r="H36" i="9"/>
  <c r="F36" i="9"/>
  <c r="I36" i="9" s="1"/>
  <c r="H35" i="9"/>
  <c r="H34" i="9"/>
  <c r="F34" i="9"/>
  <c r="I34" i="9" s="1"/>
  <c r="H32" i="9"/>
  <c r="F32" i="9"/>
  <c r="I32" i="9" s="1"/>
  <c r="H31" i="9"/>
  <c r="H29" i="9"/>
  <c r="F29" i="9"/>
  <c r="I29" i="9" s="1"/>
  <c r="C29" i="9"/>
  <c r="H27" i="9"/>
  <c r="F27" i="9"/>
  <c r="I27" i="9" s="1"/>
  <c r="C27" i="9"/>
  <c r="H25" i="9"/>
  <c r="F25" i="9"/>
  <c r="I25" i="9" s="1"/>
  <c r="H24" i="9"/>
  <c r="H23" i="9"/>
  <c r="F23" i="9"/>
  <c r="I23" i="9" s="1"/>
  <c r="F21" i="9"/>
  <c r="H21" i="9" s="1"/>
  <c r="C21" i="9"/>
  <c r="C20" i="9"/>
  <c r="F19" i="9"/>
  <c r="I19" i="9" s="1"/>
  <c r="C19" i="9"/>
  <c r="H16" i="9"/>
  <c r="F16" i="9"/>
  <c r="I16" i="9" s="1"/>
  <c r="H15" i="9"/>
  <c r="F15" i="9"/>
  <c r="I15" i="9" s="1"/>
  <c r="F50" i="9"/>
  <c r="F9" i="9"/>
  <c r="I9" i="9" s="1"/>
  <c r="E51" i="17" l="1"/>
  <c r="G51" i="17" s="1"/>
  <c r="H51" i="17" s="1"/>
  <c r="I51" i="17" s="1"/>
  <c r="K51" i="17" s="1"/>
  <c r="L51" i="17" s="1"/>
  <c r="I9" i="14"/>
  <c r="I40" i="14"/>
  <c r="I46" i="13"/>
  <c r="I50" i="13"/>
  <c r="I53" i="13"/>
  <c r="I50" i="9"/>
  <c r="I48" i="9"/>
  <c r="I18" i="17"/>
  <c r="K18" i="17" s="1"/>
  <c r="L18" i="17" s="1"/>
  <c r="K17" i="17"/>
  <c r="L17" i="17" s="1"/>
  <c r="L17" i="5"/>
  <c r="K17" i="5"/>
  <c r="K33" i="3"/>
  <c r="L33" i="3"/>
  <c r="K30" i="3"/>
  <c r="L30" i="3" s="1"/>
  <c r="K32" i="3"/>
  <c r="L32" i="3" s="1"/>
  <c r="K29" i="3"/>
  <c r="L29" i="3" s="1"/>
  <c r="I44" i="17"/>
  <c r="I48" i="17"/>
  <c r="K48" i="17" s="1"/>
  <c r="L48" i="17" s="1"/>
  <c r="I49" i="17"/>
  <c r="K49" i="17" s="1"/>
  <c r="L49" i="17" s="1"/>
  <c r="I45" i="17"/>
  <c r="K45" i="17" s="1"/>
  <c r="L45" i="17" s="1"/>
  <c r="K14" i="17"/>
  <c r="L14" i="17" s="1"/>
  <c r="I9" i="17"/>
  <c r="K9" i="17" s="1"/>
  <c r="K11" i="17" s="1"/>
  <c r="K34" i="17"/>
  <c r="L34" i="17" s="1"/>
  <c r="K44" i="17"/>
  <c r="L44" i="17" s="1"/>
  <c r="K47" i="17"/>
  <c r="L47" i="17" s="1"/>
  <c r="K40" i="17"/>
  <c r="L40" i="17" s="1"/>
  <c r="K21" i="17"/>
  <c r="L21" i="17" s="1"/>
  <c r="K31" i="17"/>
  <c r="L31" i="17" s="1"/>
  <c r="K19" i="17"/>
  <c r="L19" i="17" s="1"/>
  <c r="K37" i="17"/>
  <c r="L37" i="17" s="1"/>
  <c r="K52" i="17"/>
  <c r="L52" i="17" s="1"/>
  <c r="K50" i="17"/>
  <c r="L50" i="17" s="1"/>
  <c r="K24" i="17"/>
  <c r="L24" i="17" s="1"/>
  <c r="K33" i="17"/>
  <c r="L33" i="17" s="1"/>
  <c r="K15" i="17"/>
  <c r="L15" i="17" s="1"/>
  <c r="K20" i="17"/>
  <c r="L20" i="17" s="1"/>
  <c r="K46" i="17"/>
  <c r="L46" i="17" s="1"/>
  <c r="K28" i="17"/>
  <c r="L28" i="17" s="1"/>
  <c r="H21" i="17"/>
  <c r="L25" i="17"/>
  <c r="L32" i="17"/>
  <c r="L38" i="17"/>
  <c r="F42" i="17"/>
  <c r="I42" i="17" s="1"/>
  <c r="L16" i="17"/>
  <c r="H19" i="17"/>
  <c r="I47" i="16"/>
  <c r="K47" i="16" s="1"/>
  <c r="L47" i="16" s="1"/>
  <c r="H39" i="16"/>
  <c r="I43" i="16"/>
  <c r="I41" i="16"/>
  <c r="I44" i="16"/>
  <c r="K18" i="16"/>
  <c r="L18" i="16" s="1"/>
  <c r="K17" i="16"/>
  <c r="L17" i="16" s="1"/>
  <c r="K16" i="16"/>
  <c r="L16" i="16" s="1"/>
  <c r="H9" i="16"/>
  <c r="H11" i="16" s="1"/>
  <c r="I9" i="16"/>
  <c r="K9" i="16" s="1"/>
  <c r="K11" i="16" s="1"/>
  <c r="K21" i="16"/>
  <c r="L21" i="16" s="1"/>
  <c r="K37" i="16"/>
  <c r="L37" i="16" s="1"/>
  <c r="K45" i="16"/>
  <c r="L45" i="16" s="1"/>
  <c r="K49" i="16"/>
  <c r="L49" i="16" s="1"/>
  <c r="K39" i="16"/>
  <c r="L39" i="16" s="1"/>
  <c r="K31" i="16"/>
  <c r="L31" i="16" s="1"/>
  <c r="K33" i="16"/>
  <c r="L33" i="16" s="1"/>
  <c r="K23" i="16"/>
  <c r="L23" i="16" s="1"/>
  <c r="K38" i="16"/>
  <c r="L38" i="16" s="1"/>
  <c r="K42" i="16"/>
  <c r="L42" i="16" s="1"/>
  <c r="K46" i="16"/>
  <c r="L46" i="16" s="1"/>
  <c r="K43" i="16"/>
  <c r="L43" i="16" s="1"/>
  <c r="K41" i="16"/>
  <c r="L41" i="16" s="1"/>
  <c r="K25" i="16"/>
  <c r="L25" i="16" s="1"/>
  <c r="K30" i="16"/>
  <c r="L30" i="16" s="1"/>
  <c r="L27" i="16"/>
  <c r="L36" i="16"/>
  <c r="H21" i="16"/>
  <c r="H40" i="16" s="1"/>
  <c r="K22" i="16"/>
  <c r="L22" i="16" s="1"/>
  <c r="K26" i="16"/>
  <c r="L26" i="16" s="1"/>
  <c r="I40" i="16"/>
  <c r="K29" i="16"/>
  <c r="L29" i="16" s="1"/>
  <c r="K35" i="16"/>
  <c r="L35" i="16" s="1"/>
  <c r="H23" i="16"/>
  <c r="K34" i="16"/>
  <c r="L34" i="16" s="1"/>
  <c r="K14" i="15"/>
  <c r="L14" i="15" s="1"/>
  <c r="K26" i="15"/>
  <c r="L26" i="15" s="1"/>
  <c r="K42" i="15"/>
  <c r="L42" i="15" s="1"/>
  <c r="L18" i="15"/>
  <c r="K18" i="15"/>
  <c r="K28" i="15"/>
  <c r="L28" i="15"/>
  <c r="K36" i="15"/>
  <c r="L36" i="15"/>
  <c r="K40" i="15"/>
  <c r="L40" i="15" s="1"/>
  <c r="K39" i="15"/>
  <c r="L39" i="15" s="1"/>
  <c r="K19" i="15"/>
  <c r="L19" i="15" s="1"/>
  <c r="L32" i="15"/>
  <c r="K32" i="15"/>
  <c r="L29" i="15"/>
  <c r="K29" i="15"/>
  <c r="K33" i="15"/>
  <c r="L33" i="15" s="1"/>
  <c r="K37" i="15"/>
  <c r="L37" i="15" s="1"/>
  <c r="L16" i="15"/>
  <c r="K16" i="15"/>
  <c r="L38" i="15"/>
  <c r="K38" i="15"/>
  <c r="K41" i="15"/>
  <c r="L41" i="15"/>
  <c r="K43" i="15"/>
  <c r="L43" i="15" s="1"/>
  <c r="L15" i="15"/>
  <c r="L31" i="15"/>
  <c r="L44" i="15"/>
  <c r="H18" i="15"/>
  <c r="H35" i="15" s="1"/>
  <c r="H45" i="15" s="1"/>
  <c r="I9" i="15"/>
  <c r="L24" i="15"/>
  <c r="L30" i="15"/>
  <c r="F34" i="15"/>
  <c r="I34" i="15" s="1"/>
  <c r="I35" i="15" s="1"/>
  <c r="I45" i="15" s="1"/>
  <c r="K22" i="14"/>
  <c r="L22" i="14" s="1"/>
  <c r="I43" i="14"/>
  <c r="K43" i="14" s="1"/>
  <c r="L43" i="14" s="1"/>
  <c r="I41" i="14"/>
  <c r="I38" i="14"/>
  <c r="K38" i="14" s="1"/>
  <c r="L38" i="14" s="1"/>
  <c r="I42" i="14"/>
  <c r="K42" i="14" s="1"/>
  <c r="L42" i="14" s="1"/>
  <c r="K19" i="14"/>
  <c r="L19" i="14" s="1"/>
  <c r="K29" i="14"/>
  <c r="L29" i="14" s="1"/>
  <c r="L35" i="14"/>
  <c r="K39" i="14"/>
  <c r="L39" i="14" s="1"/>
  <c r="K41" i="14"/>
  <c r="L41" i="14" s="1"/>
  <c r="K40" i="14"/>
  <c r="L40" i="14" s="1"/>
  <c r="K25" i="14"/>
  <c r="L25" i="14" s="1"/>
  <c r="L30" i="14"/>
  <c r="K15" i="14"/>
  <c r="L15" i="14" s="1"/>
  <c r="I36" i="14"/>
  <c r="K16" i="14"/>
  <c r="L16" i="14"/>
  <c r="K26" i="14"/>
  <c r="L26" i="14" s="1"/>
  <c r="K31" i="14"/>
  <c r="L31" i="14" s="1"/>
  <c r="K33" i="14"/>
  <c r="L33" i="14" s="1"/>
  <c r="K44" i="14"/>
  <c r="L44" i="14" s="1"/>
  <c r="K20" i="14"/>
  <c r="L20" i="14" s="1"/>
  <c r="K37" i="14"/>
  <c r="L37" i="14" s="1"/>
  <c r="K34" i="14"/>
  <c r="L34" i="14"/>
  <c r="K27" i="14"/>
  <c r="L27" i="14" s="1"/>
  <c r="K32" i="14"/>
  <c r="L32" i="14" s="1"/>
  <c r="K35" i="14"/>
  <c r="L45" i="14"/>
  <c r="I10" i="14"/>
  <c r="G11" i="14" s="1"/>
  <c r="H19" i="14"/>
  <c r="H36" i="14" s="1"/>
  <c r="H46" i="14" s="1"/>
  <c r="K17" i="14"/>
  <c r="L17" i="14" s="1"/>
  <c r="K30" i="14"/>
  <c r="K9" i="14"/>
  <c r="K10" i="14" s="1"/>
  <c r="H21" i="13"/>
  <c r="I47" i="13"/>
  <c r="I51" i="13"/>
  <c r="I11" i="13"/>
  <c r="G13" i="13" s="1"/>
  <c r="F44" i="13"/>
  <c r="I44" i="13" s="1"/>
  <c r="I45" i="13" s="1"/>
  <c r="L41" i="13"/>
  <c r="K19" i="13"/>
  <c r="L19" i="13" s="1"/>
  <c r="H19" i="13"/>
  <c r="H45" i="13" s="1"/>
  <c r="H55" i="13" s="1"/>
  <c r="I52" i="13"/>
  <c r="I49" i="13"/>
  <c r="L9" i="13"/>
  <c r="L11" i="13" s="1"/>
  <c r="G14" i="13" s="1"/>
  <c r="D68" i="13" s="1"/>
  <c r="K23" i="13"/>
  <c r="L23" i="13" s="1"/>
  <c r="K40" i="13"/>
  <c r="L40" i="13" s="1"/>
  <c r="K24" i="13"/>
  <c r="L24" i="13" s="1"/>
  <c r="K27" i="13"/>
  <c r="L27" i="13" s="1"/>
  <c r="K53" i="13"/>
  <c r="L53" i="13" s="1"/>
  <c r="K17" i="13"/>
  <c r="L17" i="13" s="1"/>
  <c r="K20" i="13"/>
  <c r="K34" i="13"/>
  <c r="L34" i="13" s="1"/>
  <c r="G58" i="13"/>
  <c r="F68" i="13"/>
  <c r="K46" i="13"/>
  <c r="L46" i="13" s="1"/>
  <c r="K50" i="13"/>
  <c r="L50" i="13" s="1"/>
  <c r="K54" i="13"/>
  <c r="L54" i="13" s="1"/>
  <c r="K48" i="13"/>
  <c r="L48" i="13" s="1"/>
  <c r="K36" i="13"/>
  <c r="L36" i="13" s="1"/>
  <c r="K39" i="13"/>
  <c r="L39" i="13" s="1"/>
  <c r="K42" i="13"/>
  <c r="L42" i="13" s="1"/>
  <c r="K47" i="13"/>
  <c r="L47" i="13" s="1"/>
  <c r="K51" i="13"/>
  <c r="L51" i="13" s="1"/>
  <c r="K25" i="13"/>
  <c r="L25" i="13" s="1"/>
  <c r="L16" i="13"/>
  <c r="L21" i="13"/>
  <c r="K43" i="13"/>
  <c r="L43" i="13" s="1"/>
  <c r="K29" i="13"/>
  <c r="L29" i="13" s="1"/>
  <c r="K38" i="13"/>
  <c r="L38" i="13" s="1"/>
  <c r="K21" i="12"/>
  <c r="L21" i="12" s="1"/>
  <c r="L17" i="12"/>
  <c r="K17" i="12"/>
  <c r="K18" i="12"/>
  <c r="L18" i="12" s="1"/>
  <c r="K46" i="12"/>
  <c r="L46" i="12" s="1"/>
  <c r="K49" i="12"/>
  <c r="L49" i="12" s="1"/>
  <c r="L20" i="12"/>
  <c r="K20" i="12"/>
  <c r="K31" i="12"/>
  <c r="L31" i="12" s="1"/>
  <c r="L43" i="12"/>
  <c r="K43" i="12"/>
  <c r="K24" i="12"/>
  <c r="L24" i="12" s="1"/>
  <c r="L47" i="12"/>
  <c r="K47" i="12"/>
  <c r="K50" i="12"/>
  <c r="L50" i="12" s="1"/>
  <c r="K22" i="12"/>
  <c r="L22" i="12" s="1"/>
  <c r="K35" i="12"/>
  <c r="L35" i="12" s="1"/>
  <c r="K38" i="12"/>
  <c r="L38" i="12" s="1"/>
  <c r="K16" i="12"/>
  <c r="L16" i="12" s="1"/>
  <c r="K27" i="12"/>
  <c r="L27" i="12" s="1"/>
  <c r="K32" i="12"/>
  <c r="L32" i="12" s="1"/>
  <c r="K14" i="12"/>
  <c r="L14" i="12" s="1"/>
  <c r="K40" i="12"/>
  <c r="L40" i="12" s="1"/>
  <c r="K48" i="12"/>
  <c r="L48" i="12"/>
  <c r="K13" i="12"/>
  <c r="I42" i="12"/>
  <c r="I52" i="12" s="1"/>
  <c r="K37" i="12"/>
  <c r="L37" i="12" s="1"/>
  <c r="L44" i="12"/>
  <c r="K44" i="12"/>
  <c r="K45" i="12"/>
  <c r="L45" i="12" s="1"/>
  <c r="I8" i="12"/>
  <c r="L25" i="12"/>
  <c r="L41" i="12"/>
  <c r="L51" i="12"/>
  <c r="H18" i="12"/>
  <c r="H52" i="12" s="1"/>
  <c r="I21" i="11"/>
  <c r="K21" i="11" s="1"/>
  <c r="L21" i="11" s="1"/>
  <c r="I55" i="11"/>
  <c r="E55" i="9"/>
  <c r="G55" i="9" s="1"/>
  <c r="H55" i="9" s="1"/>
  <c r="I55" i="9" s="1"/>
  <c r="K55" i="9" s="1"/>
  <c r="L55" i="9" s="1"/>
  <c r="K28" i="9"/>
  <c r="L28" i="9" s="1"/>
  <c r="K20" i="11"/>
  <c r="L20" i="11" s="1"/>
  <c r="K48" i="11"/>
  <c r="L48" i="11" s="1"/>
  <c r="K41" i="11"/>
  <c r="L41" i="11" s="1"/>
  <c r="K30" i="11"/>
  <c r="L30" i="11" s="1"/>
  <c r="K34" i="11"/>
  <c r="L34" i="11" s="1"/>
  <c r="K45" i="11"/>
  <c r="L45" i="11" s="1"/>
  <c r="K49" i="11"/>
  <c r="L49" i="11" s="1"/>
  <c r="K52" i="11"/>
  <c r="L52" i="11" s="1"/>
  <c r="L56" i="11"/>
  <c r="L15" i="11"/>
  <c r="K15" i="11"/>
  <c r="K51" i="11"/>
  <c r="L51" i="11" s="1"/>
  <c r="L42" i="11"/>
  <c r="K42" i="11"/>
  <c r="K53" i="11"/>
  <c r="L53" i="11" s="1"/>
  <c r="F70" i="11"/>
  <c r="G60" i="11"/>
  <c r="K40" i="11"/>
  <c r="L40" i="11" s="1"/>
  <c r="K54" i="11"/>
  <c r="L54" i="11" s="1"/>
  <c r="K25" i="11"/>
  <c r="L25" i="11" s="1"/>
  <c r="K50" i="11"/>
  <c r="L50" i="11" s="1"/>
  <c r="L9" i="11"/>
  <c r="L11" i="11" s="1"/>
  <c r="G13" i="11" s="1"/>
  <c r="D70" i="11" s="1"/>
  <c r="L19" i="11"/>
  <c r="K19" i="11"/>
  <c r="K35" i="11"/>
  <c r="L35" i="11" s="1"/>
  <c r="K46" i="11"/>
  <c r="L46" i="11" s="1"/>
  <c r="K55" i="11"/>
  <c r="L55" i="11" s="1"/>
  <c r="H19" i="11"/>
  <c r="H47" i="11" s="1"/>
  <c r="H57" i="11" s="1"/>
  <c r="K24" i="11"/>
  <c r="L24" i="11" s="1"/>
  <c r="K32" i="11"/>
  <c r="L32" i="11" s="1"/>
  <c r="K44" i="11"/>
  <c r="L44" i="11" s="1"/>
  <c r="L38" i="11"/>
  <c r="H46" i="11"/>
  <c r="K23" i="11"/>
  <c r="L23" i="11" s="1"/>
  <c r="K31" i="11"/>
  <c r="L31" i="11" s="1"/>
  <c r="K43" i="11"/>
  <c r="L43" i="11" s="1"/>
  <c r="K56" i="11"/>
  <c r="K9" i="11"/>
  <c r="K11" i="11" s="1"/>
  <c r="K16" i="11"/>
  <c r="L16" i="11" s="1"/>
  <c r="K37" i="11"/>
  <c r="L37" i="11" s="1"/>
  <c r="I45" i="10"/>
  <c r="K45" i="10"/>
  <c r="L45" i="10" s="1"/>
  <c r="K38" i="10"/>
  <c r="L38" i="10" s="1"/>
  <c r="F44" i="10"/>
  <c r="I44" i="10" s="1"/>
  <c r="F35" i="10"/>
  <c r="I35" i="10" s="1"/>
  <c r="F43" i="10"/>
  <c r="I43" i="10" s="1"/>
  <c r="F8" i="10"/>
  <c r="F16" i="10"/>
  <c r="F31" i="10"/>
  <c r="I31" i="10" s="1"/>
  <c r="F37" i="10"/>
  <c r="I37" i="10" s="1"/>
  <c r="F20" i="10"/>
  <c r="I20" i="10" s="1"/>
  <c r="F24" i="10"/>
  <c r="I24" i="10" s="1"/>
  <c r="F27" i="10"/>
  <c r="I27" i="10" s="1"/>
  <c r="F48" i="10"/>
  <c r="I48" i="10" s="1"/>
  <c r="F52" i="10"/>
  <c r="F51" i="10"/>
  <c r="I51" i="10" s="1"/>
  <c r="F21" i="10"/>
  <c r="I21" i="10" s="1"/>
  <c r="F50" i="10"/>
  <c r="I50" i="10" s="1"/>
  <c r="F14" i="10"/>
  <c r="I14" i="10" s="1"/>
  <c r="F33" i="10"/>
  <c r="I33" i="10" s="1"/>
  <c r="F39" i="10"/>
  <c r="I39" i="10" s="1"/>
  <c r="F47" i="10"/>
  <c r="I47" i="10" s="1"/>
  <c r="F25" i="10"/>
  <c r="I25" i="10" s="1"/>
  <c r="F32" i="10"/>
  <c r="I32" i="10" s="1"/>
  <c r="F38" i="10"/>
  <c r="F17" i="10"/>
  <c r="H17" i="10" s="1"/>
  <c r="I17" i="10" s="1"/>
  <c r="F40" i="10"/>
  <c r="I40" i="10" s="1"/>
  <c r="F49" i="10"/>
  <c r="I49" i="10" s="1"/>
  <c r="F22" i="10"/>
  <c r="I22" i="10" s="1"/>
  <c r="F30" i="10"/>
  <c r="I30" i="10" s="1"/>
  <c r="F36" i="10"/>
  <c r="I36" i="10" s="1"/>
  <c r="F46" i="10"/>
  <c r="I46" i="10" s="1"/>
  <c r="F13" i="10"/>
  <c r="I13" i="10" s="1"/>
  <c r="F18" i="10"/>
  <c r="F26" i="10"/>
  <c r="I26" i="10" s="1"/>
  <c r="F41" i="10"/>
  <c r="I41" i="10" s="1"/>
  <c r="H46" i="9"/>
  <c r="I54" i="9"/>
  <c r="K54" i="9" s="1"/>
  <c r="L54" i="9" s="1"/>
  <c r="I49" i="9"/>
  <c r="I53" i="9"/>
  <c r="K34" i="9"/>
  <c r="L34" i="9" s="1"/>
  <c r="K25" i="9"/>
  <c r="L25" i="9" s="1"/>
  <c r="K45" i="9"/>
  <c r="L45" i="9" s="1"/>
  <c r="K19" i="9"/>
  <c r="L19" i="9" s="1"/>
  <c r="K50" i="9"/>
  <c r="L50" i="9" s="1"/>
  <c r="K40" i="9"/>
  <c r="L40" i="9" s="1"/>
  <c r="K29" i="9"/>
  <c r="L29" i="9" s="1"/>
  <c r="K49" i="9"/>
  <c r="L49" i="9" s="1"/>
  <c r="K9" i="9"/>
  <c r="K11" i="9" s="1"/>
  <c r="I11" i="9"/>
  <c r="G12" i="9" s="1"/>
  <c r="K36" i="9"/>
  <c r="L36" i="9" s="1"/>
  <c r="K42" i="9"/>
  <c r="L42" i="9" s="1"/>
  <c r="K46" i="9"/>
  <c r="L46" i="9" s="1"/>
  <c r="K27" i="9"/>
  <c r="L27" i="9" s="1"/>
  <c r="K15" i="9"/>
  <c r="L15" i="9" s="1"/>
  <c r="K37" i="9"/>
  <c r="L37" i="9" s="1"/>
  <c r="K48" i="9"/>
  <c r="L48" i="9" s="1"/>
  <c r="K52" i="9"/>
  <c r="L52" i="9" s="1"/>
  <c r="K56" i="9"/>
  <c r="L56" i="9" s="1"/>
  <c r="K23" i="9"/>
  <c r="L23" i="9" s="1"/>
  <c r="K32" i="9"/>
  <c r="L32" i="9" s="1"/>
  <c r="K16" i="9"/>
  <c r="L16" i="9" s="1"/>
  <c r="K38" i="9"/>
  <c r="L38" i="9"/>
  <c r="K44" i="9"/>
  <c r="L44" i="9" s="1"/>
  <c r="K53" i="9"/>
  <c r="L53" i="9" s="1"/>
  <c r="H19" i="9"/>
  <c r="K43" i="9"/>
  <c r="L43" i="9" s="1"/>
  <c r="F20" i="9"/>
  <c r="H20" i="9" s="1"/>
  <c r="I20" i="9" s="1"/>
  <c r="I21" i="9"/>
  <c r="F24" i="9"/>
  <c r="I24" i="9" s="1"/>
  <c r="F35" i="9"/>
  <c r="I35" i="9" s="1"/>
  <c r="F41" i="9"/>
  <c r="I41" i="9" s="1"/>
  <c r="F51" i="9"/>
  <c r="I51" i="9" s="1"/>
  <c r="H9" i="9"/>
  <c r="H11" i="9" s="1"/>
  <c r="F31" i="9"/>
  <c r="I31" i="9" s="1"/>
  <c r="I11" i="16" l="1"/>
  <c r="G13" i="16" s="1"/>
  <c r="K44" i="13"/>
  <c r="L44" i="13" s="1"/>
  <c r="L9" i="17"/>
  <c r="L11" i="17" s="1"/>
  <c r="I11" i="17"/>
  <c r="G12" i="17" s="1"/>
  <c r="F66" i="17" s="1"/>
  <c r="H43" i="17"/>
  <c r="H53" i="17" s="1"/>
  <c r="G13" i="17"/>
  <c r="D66" i="17" s="1"/>
  <c r="K42" i="17"/>
  <c r="K43" i="17" s="1"/>
  <c r="K53" i="17" s="1"/>
  <c r="L42" i="17"/>
  <c r="L43" i="17"/>
  <c r="L53" i="17" s="1"/>
  <c r="E63" i="17" s="1"/>
  <c r="D67" i="17" s="1"/>
  <c r="I43" i="17"/>
  <c r="I53" i="17" s="1"/>
  <c r="K44" i="16"/>
  <c r="L44" i="16" s="1"/>
  <c r="G53" i="16"/>
  <c r="F63" i="16"/>
  <c r="L40" i="16"/>
  <c r="K40" i="16"/>
  <c r="L9" i="16"/>
  <c r="L11" i="16" s="1"/>
  <c r="G14" i="16" s="1"/>
  <c r="D63" i="16" s="1"/>
  <c r="G49" i="15"/>
  <c r="E54" i="15"/>
  <c r="F59" i="15" s="1"/>
  <c r="K9" i="15"/>
  <c r="K10" i="15" s="1"/>
  <c r="I10" i="15"/>
  <c r="G11" i="15" s="1"/>
  <c r="K34" i="15"/>
  <c r="L34" i="15"/>
  <c r="L35" i="15" s="1"/>
  <c r="L45" i="15" s="1"/>
  <c r="E55" i="15" s="1"/>
  <c r="D59" i="15" s="1"/>
  <c r="K35" i="15"/>
  <c r="K45" i="15" s="1"/>
  <c r="I46" i="14"/>
  <c r="G50" i="14" s="1"/>
  <c r="L36" i="14"/>
  <c r="L46" i="14" s="1"/>
  <c r="E56" i="14" s="1"/>
  <c r="D60" i="14" s="1"/>
  <c r="K36" i="14"/>
  <c r="K46" i="14" s="1"/>
  <c r="L9" i="14"/>
  <c r="L10" i="14" s="1"/>
  <c r="G12" i="14" s="1"/>
  <c r="D59" i="14" s="1"/>
  <c r="G49" i="14"/>
  <c r="F59" i="14"/>
  <c r="I55" i="13"/>
  <c r="E64" i="13" s="1"/>
  <c r="F69" i="13" s="1"/>
  <c r="F70" i="13" s="1"/>
  <c r="F72" i="13" s="1"/>
  <c r="K49" i="13"/>
  <c r="L49" i="13" s="1"/>
  <c r="K45" i="13"/>
  <c r="K52" i="13"/>
  <c r="L52" i="13" s="1"/>
  <c r="L20" i="13"/>
  <c r="L45" i="13" s="1"/>
  <c r="K42" i="12"/>
  <c r="K52" i="12" s="1"/>
  <c r="I10" i="12"/>
  <c r="G11" i="12" s="1"/>
  <c r="K8" i="12"/>
  <c r="K10" i="12" s="1"/>
  <c r="L13" i="12"/>
  <c r="L42" i="12" s="1"/>
  <c r="L52" i="12" s="1"/>
  <c r="E61" i="12" s="1"/>
  <c r="D65" i="12" s="1"/>
  <c r="E60" i="12"/>
  <c r="F65" i="12" s="1"/>
  <c r="G55" i="12"/>
  <c r="I47" i="11"/>
  <c r="I57" i="11" s="1"/>
  <c r="G61" i="11" s="1"/>
  <c r="G62" i="11" s="1"/>
  <c r="L47" i="11"/>
  <c r="L57" i="11" s="1"/>
  <c r="E67" i="11" s="1"/>
  <c r="D71" i="11" s="1"/>
  <c r="D72" i="11" s="1"/>
  <c r="D74" i="11" s="1"/>
  <c r="K47" i="11"/>
  <c r="K57" i="11" s="1"/>
  <c r="K47" i="10"/>
  <c r="L47" i="10" s="1"/>
  <c r="L43" i="10"/>
  <c r="K43" i="10"/>
  <c r="K50" i="10"/>
  <c r="L50" i="10" s="1"/>
  <c r="K48" i="10"/>
  <c r="L48" i="10" s="1"/>
  <c r="K49" i="10"/>
  <c r="L49" i="10" s="1"/>
  <c r="K25" i="10"/>
  <c r="L25" i="10" s="1"/>
  <c r="K39" i="10"/>
  <c r="L39" i="10"/>
  <c r="K35" i="10"/>
  <c r="L35" i="10" s="1"/>
  <c r="K44" i="10"/>
  <c r="L44" i="10" s="1"/>
  <c r="K26" i="10"/>
  <c r="L26" i="10" s="1"/>
  <c r="K40" i="10"/>
  <c r="L40" i="10" s="1"/>
  <c r="K33" i="10"/>
  <c r="L33" i="10"/>
  <c r="K24" i="10"/>
  <c r="L24" i="10" s="1"/>
  <c r="I18" i="10"/>
  <c r="H18" i="10"/>
  <c r="K14" i="10"/>
  <c r="L14" i="10" s="1"/>
  <c r="K20" i="10"/>
  <c r="L20" i="10"/>
  <c r="K30" i="10"/>
  <c r="L30" i="10" s="1"/>
  <c r="I8" i="10"/>
  <c r="H8" i="10"/>
  <c r="H10" i="10" s="1"/>
  <c r="K22" i="10"/>
  <c r="L22" i="10" s="1"/>
  <c r="K41" i="10"/>
  <c r="L41" i="10"/>
  <c r="K27" i="10"/>
  <c r="L27" i="10" s="1"/>
  <c r="K13" i="10"/>
  <c r="L13" i="10" s="1"/>
  <c r="K17" i="10"/>
  <c r="L17" i="10" s="1"/>
  <c r="K37" i="10"/>
  <c r="L37" i="10" s="1"/>
  <c r="K46" i="10"/>
  <c r="L46" i="10" s="1"/>
  <c r="K21" i="10"/>
  <c r="L21" i="10" s="1"/>
  <c r="K31" i="10"/>
  <c r="L31" i="10" s="1"/>
  <c r="K36" i="10"/>
  <c r="L36" i="10"/>
  <c r="K32" i="10"/>
  <c r="L32" i="10" s="1"/>
  <c r="K51" i="10"/>
  <c r="L51" i="10" s="1"/>
  <c r="I16" i="10"/>
  <c r="H16" i="10"/>
  <c r="L9" i="9"/>
  <c r="L11" i="9" s="1"/>
  <c r="G13" i="9" s="1"/>
  <c r="D70" i="9" s="1"/>
  <c r="K51" i="9"/>
  <c r="L51" i="9" s="1"/>
  <c r="K31" i="9"/>
  <c r="L31" i="9" s="1"/>
  <c r="H47" i="9"/>
  <c r="H57" i="9" s="1"/>
  <c r="K41" i="9"/>
  <c r="L41" i="9" s="1"/>
  <c r="K24" i="9"/>
  <c r="L24" i="9" s="1"/>
  <c r="F70" i="9"/>
  <c r="G60" i="9"/>
  <c r="K21" i="9"/>
  <c r="L21" i="9"/>
  <c r="K20" i="9"/>
  <c r="L20" i="9" s="1"/>
  <c r="I47" i="9"/>
  <c r="I57" i="9" s="1"/>
  <c r="K35" i="9"/>
  <c r="L35" i="9" s="1"/>
  <c r="G59" i="13" l="1"/>
  <c r="G60" i="13" s="1"/>
  <c r="H62" i="13" s="1"/>
  <c r="B61" i="13" s="1"/>
  <c r="B62" i="13" s="1"/>
  <c r="E66" i="11"/>
  <c r="F71" i="11" s="1"/>
  <c r="F72" i="11" s="1"/>
  <c r="F74" i="11" s="1"/>
  <c r="G64" i="11"/>
  <c r="H64" i="11"/>
  <c r="B63" i="11" s="1"/>
  <c r="B64" i="11" s="1"/>
  <c r="G56" i="17"/>
  <c r="D68" i="17"/>
  <c r="D70" i="17" s="1"/>
  <c r="E62" i="17"/>
  <c r="F67" i="17" s="1"/>
  <c r="F68" i="17" s="1"/>
  <c r="F70" i="17" s="1"/>
  <c r="G57" i="17"/>
  <c r="G58" i="17" s="1"/>
  <c r="G48" i="15"/>
  <c r="G50" i="15" s="1"/>
  <c r="F58" i="15"/>
  <c r="F60" i="15" s="1"/>
  <c r="F62" i="15" s="1"/>
  <c r="L9" i="15"/>
  <c r="L10" i="15" s="1"/>
  <c r="G12" i="15" s="1"/>
  <c r="D58" i="15" s="1"/>
  <c r="D60" i="15" s="1"/>
  <c r="D62" i="15" s="1"/>
  <c r="E55" i="14"/>
  <c r="F60" i="14" s="1"/>
  <c r="F61" i="14" s="1"/>
  <c r="F63" i="14" s="1"/>
  <c r="G51" i="14"/>
  <c r="H53" i="14" s="1"/>
  <c r="B52" i="14" s="1"/>
  <c r="B53" i="14" s="1"/>
  <c r="D61" i="14"/>
  <c r="D63" i="14" s="1"/>
  <c r="L55" i="13"/>
  <c r="E65" i="13" s="1"/>
  <c r="D69" i="13" s="1"/>
  <c r="D70" i="13" s="1"/>
  <c r="D72" i="13" s="1"/>
  <c r="K55" i="13"/>
  <c r="G54" i="12"/>
  <c r="G56" i="12" s="1"/>
  <c r="G58" i="12" s="1"/>
  <c r="F64" i="12"/>
  <c r="F66" i="12" s="1"/>
  <c r="F68" i="12" s="1"/>
  <c r="L8" i="12"/>
  <c r="L10" i="12" s="1"/>
  <c r="G12" i="12" s="1"/>
  <c r="D64" i="12" s="1"/>
  <c r="D66" i="12" s="1"/>
  <c r="D68" i="12" s="1"/>
  <c r="H42" i="10"/>
  <c r="H52" i="10" s="1"/>
  <c r="I42" i="10"/>
  <c r="I52" i="10" s="1"/>
  <c r="E60" i="10" s="1"/>
  <c r="F65" i="10" s="1"/>
  <c r="K8" i="10"/>
  <c r="K10" i="10" s="1"/>
  <c r="I10" i="10"/>
  <c r="G11" i="10" s="1"/>
  <c r="K18" i="10"/>
  <c r="L18" i="10" s="1"/>
  <c r="K16" i="10"/>
  <c r="L16" i="10" s="1"/>
  <c r="L42" i="10" s="1"/>
  <c r="L52" i="10" s="1"/>
  <c r="E61" i="10" s="1"/>
  <c r="D65" i="10" s="1"/>
  <c r="K47" i="9"/>
  <c r="K57" i="9" s="1"/>
  <c r="L47" i="9"/>
  <c r="L57" i="9" s="1"/>
  <c r="E67" i="9" s="1"/>
  <c r="D71" i="9" s="1"/>
  <c r="D72" i="9" s="1"/>
  <c r="D74" i="9" s="1"/>
  <c r="G61" i="9"/>
  <c r="G62" i="9" s="1"/>
  <c r="E66" i="9"/>
  <c r="F71" i="9" s="1"/>
  <c r="F72" i="9" s="1"/>
  <c r="F74" i="9" s="1"/>
  <c r="G53" i="14" l="1"/>
  <c r="G62" i="13"/>
  <c r="G64" i="9"/>
  <c r="H64" i="9"/>
  <c r="B63" i="9" s="1"/>
  <c r="B64" i="9" s="1"/>
  <c r="H60" i="17"/>
  <c r="B59" i="17" s="1"/>
  <c r="B60" i="17" s="1"/>
  <c r="G60" i="17"/>
  <c r="H52" i="15"/>
  <c r="B51" i="15" s="1"/>
  <c r="B52" i="15" s="1"/>
  <c r="G52" i="15"/>
  <c r="H58" i="12"/>
  <c r="B57" i="12" s="1"/>
  <c r="B58" i="12" s="1"/>
  <c r="G55" i="10"/>
  <c r="L8" i="10"/>
  <c r="L10" i="10" s="1"/>
  <c r="G12" i="10" s="1"/>
  <c r="D64" i="10" s="1"/>
  <c r="D66" i="10" s="1"/>
  <c r="D68" i="10" s="1"/>
  <c r="K42" i="10"/>
  <c r="K52" i="10" s="1"/>
  <c r="F64" i="10"/>
  <c r="F66" i="10" s="1"/>
  <c r="F68" i="10" s="1"/>
  <c r="G54" i="10"/>
  <c r="G56" i="10" l="1"/>
  <c r="G58" i="10" l="1"/>
  <c r="H58" i="10"/>
  <c r="B57" i="10" s="1"/>
  <c r="B58" i="10" s="1"/>
  <c r="F46" i="8"/>
  <c r="I46" i="8" s="1"/>
  <c r="K46" i="8" s="1"/>
  <c r="L46" i="8" s="1"/>
  <c r="G17" i="8"/>
  <c r="F17" i="8"/>
  <c r="C17" i="8"/>
  <c r="H17" i="8"/>
  <c r="F14" i="8"/>
  <c r="I14" i="8" s="1"/>
  <c r="F15" i="8"/>
  <c r="I15" i="8" s="1"/>
  <c r="F16" i="8"/>
  <c r="I16" i="8" s="1"/>
  <c r="K16" i="8" s="1"/>
  <c r="L16" i="8" s="1"/>
  <c r="C16" i="8"/>
  <c r="C15" i="8"/>
  <c r="H16" i="8"/>
  <c r="H15" i="8"/>
  <c r="F23" i="8"/>
  <c r="I23" i="8" s="1"/>
  <c r="C23" i="8"/>
  <c r="H23" i="8"/>
  <c r="C14" i="8"/>
  <c r="H14" i="8"/>
  <c r="B51" i="8"/>
  <c r="C45" i="8" s="1"/>
  <c r="E45" i="8" s="1"/>
  <c r="G45" i="8" s="1"/>
  <c r="H45" i="8" s="1"/>
  <c r="F47" i="8"/>
  <c r="F45" i="8"/>
  <c r="G44" i="8"/>
  <c r="H44" i="8" s="1"/>
  <c r="F44" i="8"/>
  <c r="F43" i="8"/>
  <c r="E43" i="8"/>
  <c r="G43" i="8" s="1"/>
  <c r="H43" i="8" s="1"/>
  <c r="I43" i="8" s="1"/>
  <c r="F42" i="8"/>
  <c r="E42" i="8"/>
  <c r="G42" i="8" s="1"/>
  <c r="H42" i="8" s="1"/>
  <c r="F41" i="8"/>
  <c r="E41" i="8"/>
  <c r="G41" i="8" s="1"/>
  <c r="H41" i="8" s="1"/>
  <c r="F40" i="8"/>
  <c r="E40" i="8"/>
  <c r="G40" i="8" s="1"/>
  <c r="H40" i="8" s="1"/>
  <c r="F39" i="8"/>
  <c r="E39" i="8"/>
  <c r="G39" i="8" s="1"/>
  <c r="H39" i="8" s="1"/>
  <c r="I39" i="8" s="1"/>
  <c r="F38" i="8"/>
  <c r="E38" i="8"/>
  <c r="G38" i="8" s="1"/>
  <c r="H38" i="8" s="1"/>
  <c r="E36" i="8"/>
  <c r="H36" i="8" s="1"/>
  <c r="H35" i="8"/>
  <c r="F35" i="8"/>
  <c r="I35" i="8" s="1"/>
  <c r="H34" i="8"/>
  <c r="F34" i="8"/>
  <c r="I34" i="8" s="1"/>
  <c r="I33" i="8"/>
  <c r="K33" i="8" s="1"/>
  <c r="F33" i="8"/>
  <c r="H32" i="8"/>
  <c r="F32" i="8"/>
  <c r="I32" i="8" s="1"/>
  <c r="H31" i="8"/>
  <c r="F31" i="8"/>
  <c r="I31" i="8" s="1"/>
  <c r="H30" i="8"/>
  <c r="F30" i="8"/>
  <c r="I30" i="8" s="1"/>
  <c r="F28" i="8"/>
  <c r="I28" i="8" s="1"/>
  <c r="H27" i="8"/>
  <c r="F27" i="8"/>
  <c r="I27" i="8" s="1"/>
  <c r="H26" i="8"/>
  <c r="F26" i="8"/>
  <c r="I26" i="8" s="1"/>
  <c r="H22" i="8"/>
  <c r="F22" i="8"/>
  <c r="I22" i="8" s="1"/>
  <c r="C22" i="8"/>
  <c r="F20" i="8"/>
  <c r="H20" i="8" s="1"/>
  <c r="I20" i="8" s="1"/>
  <c r="C20" i="8"/>
  <c r="F19" i="8"/>
  <c r="I19" i="8" s="1"/>
  <c r="C19" i="8"/>
  <c r="F9" i="8"/>
  <c r="H9" i="8" s="1"/>
  <c r="H10" i="8" s="1"/>
  <c r="C34" i="7"/>
  <c r="F31" i="7"/>
  <c r="I31" i="7" s="1"/>
  <c r="C31" i="7"/>
  <c r="H31" i="7"/>
  <c r="F30" i="7"/>
  <c r="C30" i="7"/>
  <c r="I30" i="7"/>
  <c r="H30" i="7"/>
  <c r="F29" i="7"/>
  <c r="I29" i="7" s="1"/>
  <c r="H29" i="7"/>
  <c r="F19" i="7"/>
  <c r="I19" i="7" s="1"/>
  <c r="F9" i="7"/>
  <c r="I9" i="7" s="1"/>
  <c r="I11" i="7" s="1"/>
  <c r="G13" i="7" s="1"/>
  <c r="F71" i="7" s="1"/>
  <c r="C19" i="7"/>
  <c r="H19" i="7"/>
  <c r="F18" i="7"/>
  <c r="I18" i="7" s="1"/>
  <c r="K18" i="7" s="1"/>
  <c r="L18" i="7" s="1"/>
  <c r="C18" i="7"/>
  <c r="H18" i="7"/>
  <c r="B62" i="7"/>
  <c r="C56" i="7" s="1"/>
  <c r="F58" i="7"/>
  <c r="F57" i="7"/>
  <c r="I57" i="7" s="1"/>
  <c r="F56" i="7"/>
  <c r="G55" i="7"/>
  <c r="H55" i="7" s="1"/>
  <c r="F55" i="7"/>
  <c r="F54" i="7"/>
  <c r="E54" i="7"/>
  <c r="G54" i="7" s="1"/>
  <c r="H54" i="7" s="1"/>
  <c r="F53" i="7"/>
  <c r="E53" i="7"/>
  <c r="G53" i="7" s="1"/>
  <c r="H53" i="7" s="1"/>
  <c r="F52" i="7"/>
  <c r="E52" i="7"/>
  <c r="G52" i="7" s="1"/>
  <c r="H52" i="7" s="1"/>
  <c r="F51" i="7"/>
  <c r="E51" i="7"/>
  <c r="G51" i="7" s="1"/>
  <c r="H51" i="7" s="1"/>
  <c r="F50" i="7"/>
  <c r="E50" i="7"/>
  <c r="G50" i="7" s="1"/>
  <c r="H50" i="7" s="1"/>
  <c r="F49" i="7"/>
  <c r="E49" i="7"/>
  <c r="G49" i="7" s="1"/>
  <c r="H49" i="7" s="1"/>
  <c r="I49" i="7" s="1"/>
  <c r="E47" i="7"/>
  <c r="H47" i="7" s="1"/>
  <c r="H46" i="7"/>
  <c r="F46" i="7"/>
  <c r="I46" i="7" s="1"/>
  <c r="H45" i="7"/>
  <c r="F45" i="7"/>
  <c r="I45" i="7" s="1"/>
  <c r="I44" i="7"/>
  <c r="F44" i="7"/>
  <c r="H43" i="7"/>
  <c r="F43" i="7"/>
  <c r="I43" i="7" s="1"/>
  <c r="H42" i="7"/>
  <c r="F42" i="7"/>
  <c r="I42" i="7" s="1"/>
  <c r="K42" i="7" s="1"/>
  <c r="L42" i="7" s="1"/>
  <c r="H41" i="7"/>
  <c r="F41" i="7"/>
  <c r="I41" i="7" s="1"/>
  <c r="F39" i="7"/>
  <c r="I39" i="7" s="1"/>
  <c r="H38" i="7"/>
  <c r="F38" i="7"/>
  <c r="I38" i="7" s="1"/>
  <c r="K38" i="7" s="1"/>
  <c r="L38" i="7" s="1"/>
  <c r="H37" i="7"/>
  <c r="F37" i="7"/>
  <c r="I37" i="7" s="1"/>
  <c r="H34" i="7"/>
  <c r="F34" i="7"/>
  <c r="I34" i="7" s="1"/>
  <c r="H27" i="7"/>
  <c r="F27" i="7"/>
  <c r="I27" i="7" s="1"/>
  <c r="H26" i="7"/>
  <c r="F26" i="7"/>
  <c r="I26" i="7" s="1"/>
  <c r="H25" i="7"/>
  <c r="F25" i="7"/>
  <c r="I25" i="7" s="1"/>
  <c r="F23" i="7"/>
  <c r="I23" i="7" s="1"/>
  <c r="C23" i="7"/>
  <c r="F22" i="7"/>
  <c r="H22" i="7" s="1"/>
  <c r="I22" i="7" s="1"/>
  <c r="C22" i="7"/>
  <c r="F21" i="7"/>
  <c r="I21" i="7" s="1"/>
  <c r="K21" i="7" s="1"/>
  <c r="L21" i="7" s="1"/>
  <c r="C21" i="7"/>
  <c r="H17" i="7"/>
  <c r="F17" i="7"/>
  <c r="I17" i="7" s="1"/>
  <c r="K17" i="7" s="1"/>
  <c r="C17" i="7"/>
  <c r="E56" i="7" l="1"/>
  <c r="G56" i="7" s="1"/>
  <c r="H56" i="7" s="1"/>
  <c r="I56" i="7" s="1"/>
  <c r="K56" i="7" s="1"/>
  <c r="L56" i="7" s="1"/>
  <c r="K25" i="7"/>
  <c r="L25" i="7" s="1"/>
  <c r="I48" i="7"/>
  <c r="I17" i="8"/>
  <c r="I45" i="8"/>
  <c r="K45" i="8" s="1"/>
  <c r="L45" i="8" s="1"/>
  <c r="K17" i="8"/>
  <c r="L17" i="8" s="1"/>
  <c r="I38" i="8"/>
  <c r="K38" i="8" s="1"/>
  <c r="L38" i="8" s="1"/>
  <c r="K15" i="8"/>
  <c r="L15" i="8" s="1"/>
  <c r="I42" i="8"/>
  <c r="K42" i="8" s="1"/>
  <c r="L42" i="8" s="1"/>
  <c r="K23" i="8"/>
  <c r="L23" i="8" s="1"/>
  <c r="I40" i="8"/>
  <c r="K40" i="8" s="1"/>
  <c r="L40" i="8" s="1"/>
  <c r="I41" i="8"/>
  <c r="K41" i="8" s="1"/>
  <c r="F36" i="8"/>
  <c r="I36" i="8" s="1"/>
  <c r="K36" i="8" s="1"/>
  <c r="I44" i="8"/>
  <c r="K44" i="8" s="1"/>
  <c r="L44" i="8" s="1"/>
  <c r="K14" i="8"/>
  <c r="L14" i="8" s="1"/>
  <c r="I9" i="8"/>
  <c r="K9" i="8" s="1"/>
  <c r="K10" i="8" s="1"/>
  <c r="K30" i="8"/>
  <c r="L30" i="8" s="1"/>
  <c r="K20" i="8"/>
  <c r="L20" i="8" s="1"/>
  <c r="K26" i="8"/>
  <c r="L26" i="8" s="1"/>
  <c r="K35" i="8"/>
  <c r="L35" i="8" s="1"/>
  <c r="K22" i="8"/>
  <c r="L22" i="8" s="1"/>
  <c r="K27" i="8"/>
  <c r="L27" i="8" s="1"/>
  <c r="K32" i="8"/>
  <c r="L32" i="8" s="1"/>
  <c r="K39" i="8"/>
  <c r="L39" i="8" s="1"/>
  <c r="K19" i="8"/>
  <c r="L19" i="8" s="1"/>
  <c r="K34" i="8"/>
  <c r="L34" i="8" s="1"/>
  <c r="K28" i="8"/>
  <c r="L28" i="8"/>
  <c r="K43" i="8"/>
  <c r="L43" i="8" s="1"/>
  <c r="K31" i="8"/>
  <c r="L31" i="8" s="1"/>
  <c r="L33" i="8"/>
  <c r="H19" i="8"/>
  <c r="H37" i="8" s="1"/>
  <c r="H47" i="8" s="1"/>
  <c r="I53" i="7"/>
  <c r="I50" i="7"/>
  <c r="K50" i="7" s="1"/>
  <c r="L50" i="7" s="1"/>
  <c r="K31" i="7"/>
  <c r="L31" i="7" s="1"/>
  <c r="K30" i="7"/>
  <c r="L30" i="7"/>
  <c r="H9" i="7"/>
  <c r="H11" i="7" s="1"/>
  <c r="I51" i="7"/>
  <c r="K51" i="7" s="1"/>
  <c r="L51" i="7" s="1"/>
  <c r="K29" i="7"/>
  <c r="L29" i="7" s="1"/>
  <c r="K19" i="7"/>
  <c r="L19" i="7" s="1"/>
  <c r="I52" i="7"/>
  <c r="I54" i="7"/>
  <c r="K9" i="7"/>
  <c r="K11" i="7" s="1"/>
  <c r="K23" i="7"/>
  <c r="L23" i="7" s="1"/>
  <c r="K49" i="7"/>
  <c r="L49" i="7" s="1"/>
  <c r="K41" i="7"/>
  <c r="L41" i="7" s="1"/>
  <c r="K46" i="7"/>
  <c r="L46" i="7" s="1"/>
  <c r="K39" i="7"/>
  <c r="L39" i="7" s="1"/>
  <c r="K43" i="7"/>
  <c r="L43" i="7" s="1"/>
  <c r="K52" i="7"/>
  <c r="L52" i="7" s="1"/>
  <c r="K57" i="7"/>
  <c r="L57" i="7" s="1"/>
  <c r="K27" i="7"/>
  <c r="L27" i="7" s="1"/>
  <c r="L17" i="7"/>
  <c r="K26" i="7"/>
  <c r="L26" i="7" s="1"/>
  <c r="K34" i="7"/>
  <c r="L34" i="7" s="1"/>
  <c r="K44" i="7"/>
  <c r="L44" i="7" s="1"/>
  <c r="K53" i="7"/>
  <c r="L53" i="7" s="1"/>
  <c r="H23" i="7"/>
  <c r="K37" i="7"/>
  <c r="L37" i="7" s="1"/>
  <c r="K22" i="7"/>
  <c r="L22" i="7" s="1"/>
  <c r="I55" i="7"/>
  <c r="K45" i="7"/>
  <c r="L45" i="7" s="1"/>
  <c r="H21" i="7"/>
  <c r="F47" i="7"/>
  <c r="I47" i="7" s="1"/>
  <c r="H30" i="5"/>
  <c r="I30" i="5"/>
  <c r="K30" i="5" s="1"/>
  <c r="F53" i="5"/>
  <c r="F52" i="5"/>
  <c r="I52" i="5" s="1"/>
  <c r="F51" i="5"/>
  <c r="G50" i="5"/>
  <c r="H50" i="5" s="1"/>
  <c r="F50" i="5"/>
  <c r="F49" i="5"/>
  <c r="E49" i="5"/>
  <c r="G49" i="5" s="1"/>
  <c r="H49" i="5" s="1"/>
  <c r="F48" i="5"/>
  <c r="E48" i="5"/>
  <c r="G48" i="5" s="1"/>
  <c r="H48" i="5" s="1"/>
  <c r="I48" i="5" s="1"/>
  <c r="F47" i="5"/>
  <c r="E47" i="5"/>
  <c r="G47" i="5" s="1"/>
  <c r="H47" i="5" s="1"/>
  <c r="F46" i="5"/>
  <c r="E46" i="5"/>
  <c r="G46" i="5" s="1"/>
  <c r="H46" i="5" s="1"/>
  <c r="F45" i="5"/>
  <c r="E45" i="5"/>
  <c r="G45" i="5" s="1"/>
  <c r="H45" i="5" s="1"/>
  <c r="I45" i="5" s="1"/>
  <c r="F44" i="5"/>
  <c r="E44" i="5"/>
  <c r="G44" i="5" s="1"/>
  <c r="H44" i="5" s="1"/>
  <c r="E42" i="5"/>
  <c r="F42" i="5" s="1"/>
  <c r="I42" i="5" s="1"/>
  <c r="H41" i="5"/>
  <c r="F41" i="5"/>
  <c r="I41" i="5" s="1"/>
  <c r="H40" i="5"/>
  <c r="F40" i="5"/>
  <c r="I40" i="5" s="1"/>
  <c r="I39" i="5"/>
  <c r="F39" i="5"/>
  <c r="H38" i="5"/>
  <c r="F38" i="5"/>
  <c r="I38" i="5" s="1"/>
  <c r="H37" i="5"/>
  <c r="F37" i="5"/>
  <c r="I37" i="5" s="1"/>
  <c r="K37" i="5" s="1"/>
  <c r="H36" i="5"/>
  <c r="F36" i="5"/>
  <c r="I36" i="5" s="1"/>
  <c r="F34" i="5"/>
  <c r="I34" i="5" s="1"/>
  <c r="H33" i="5"/>
  <c r="F33" i="5"/>
  <c r="I33" i="5" s="1"/>
  <c r="H32" i="5"/>
  <c r="F32" i="5"/>
  <c r="I32" i="5" s="1"/>
  <c r="N29" i="5"/>
  <c r="H29" i="5"/>
  <c r="F29" i="5"/>
  <c r="I29" i="5" s="1"/>
  <c r="K29" i="5" s="1"/>
  <c r="H26" i="5"/>
  <c r="F26" i="5"/>
  <c r="I26" i="5" s="1"/>
  <c r="H25" i="5"/>
  <c r="F25" i="5"/>
  <c r="I25" i="5" s="1"/>
  <c r="I24" i="5"/>
  <c r="H24" i="5"/>
  <c r="F24" i="5"/>
  <c r="F22" i="5"/>
  <c r="H22" i="5" s="1"/>
  <c r="C22" i="5"/>
  <c r="F21" i="5"/>
  <c r="H21" i="5" s="1"/>
  <c r="I21" i="5" s="1"/>
  <c r="C21" i="5"/>
  <c r="F20" i="5"/>
  <c r="H20" i="5" s="1"/>
  <c r="C20" i="5"/>
  <c r="H16" i="5"/>
  <c r="F16" i="5"/>
  <c r="I16" i="5" s="1"/>
  <c r="C16" i="5"/>
  <c r="I9" i="5"/>
  <c r="I11" i="5" s="1"/>
  <c r="G13" i="5" s="1"/>
  <c r="H9" i="5"/>
  <c r="H11" i="5" s="1"/>
  <c r="A5" i="4"/>
  <c r="A6" i="4" s="1"/>
  <c r="A7" i="4" s="1"/>
  <c r="A8" i="4" s="1"/>
  <c r="A9" i="4" s="1"/>
  <c r="A10" i="4" s="1"/>
  <c r="A11" i="4" s="1"/>
  <c r="I46" i="5" l="1"/>
  <c r="I58" i="7"/>
  <c r="I37" i="8"/>
  <c r="I47" i="8" s="1"/>
  <c r="E56" i="8" s="1"/>
  <c r="F61" i="8" s="1"/>
  <c r="L41" i="8"/>
  <c r="L36" i="8"/>
  <c r="I10" i="8"/>
  <c r="G11" i="8" s="1"/>
  <c r="G50" i="8" s="1"/>
  <c r="L37" i="8"/>
  <c r="L47" i="8" s="1"/>
  <c r="E57" i="8" s="1"/>
  <c r="D61" i="8" s="1"/>
  <c r="F60" i="8"/>
  <c r="K37" i="8"/>
  <c r="K47" i="8" s="1"/>
  <c r="L9" i="8"/>
  <c r="L10" i="8" s="1"/>
  <c r="G12" i="8" s="1"/>
  <c r="D60" i="8" s="1"/>
  <c r="K54" i="7"/>
  <c r="L54" i="7"/>
  <c r="L9" i="7"/>
  <c r="L11" i="7" s="1"/>
  <c r="G14" i="7" s="1"/>
  <c r="D71" i="7" s="1"/>
  <c r="H48" i="7"/>
  <c r="H58" i="7" s="1"/>
  <c r="K47" i="7"/>
  <c r="L47" i="7" s="1"/>
  <c r="K48" i="7"/>
  <c r="K55" i="7"/>
  <c r="L55" i="7" s="1"/>
  <c r="L30" i="5"/>
  <c r="I49" i="5"/>
  <c r="I22" i="5"/>
  <c r="K22" i="5" s="1"/>
  <c r="L22" i="5" s="1"/>
  <c r="H42" i="5"/>
  <c r="H43" i="5" s="1"/>
  <c r="I50" i="5"/>
  <c r="K50" i="5" s="1"/>
  <c r="L50" i="5" s="1"/>
  <c r="I44" i="5"/>
  <c r="K44" i="5" s="1"/>
  <c r="L44" i="5" s="1"/>
  <c r="I47" i="5"/>
  <c r="K47" i="5" s="1"/>
  <c r="L47" i="5" s="1"/>
  <c r="I20" i="5"/>
  <c r="K42" i="5"/>
  <c r="L42" i="5" s="1"/>
  <c r="K34" i="5"/>
  <c r="L34" i="5" s="1"/>
  <c r="K36" i="5"/>
  <c r="L36" i="5" s="1"/>
  <c r="K48" i="5"/>
  <c r="L48" i="5" s="1"/>
  <c r="F66" i="5"/>
  <c r="G56" i="5"/>
  <c r="K40" i="5"/>
  <c r="L40" i="5" s="1"/>
  <c r="K25" i="5"/>
  <c r="L25" i="5"/>
  <c r="K41" i="5"/>
  <c r="L41" i="5" s="1"/>
  <c r="K46" i="5"/>
  <c r="L46" i="5" s="1"/>
  <c r="K21" i="5"/>
  <c r="L21" i="5"/>
  <c r="K52" i="5"/>
  <c r="L52" i="5" s="1"/>
  <c r="K45" i="5"/>
  <c r="L45" i="5" s="1"/>
  <c r="K49" i="5"/>
  <c r="L49" i="5" s="1"/>
  <c r="K26" i="5"/>
  <c r="L26" i="5" s="1"/>
  <c r="K33" i="5"/>
  <c r="L33" i="5" s="1"/>
  <c r="K24" i="5"/>
  <c r="L24" i="5" s="1"/>
  <c r="L29" i="5"/>
  <c r="L37" i="5"/>
  <c r="K39" i="5"/>
  <c r="L39" i="5" s="1"/>
  <c r="K9" i="5"/>
  <c r="K11" i="5" s="1"/>
  <c r="K16" i="5"/>
  <c r="K32" i="5"/>
  <c r="L32" i="5" s="1"/>
  <c r="K38" i="5"/>
  <c r="L38" i="5" s="1"/>
  <c r="B62" i="3"/>
  <c r="C56" i="3" s="1"/>
  <c r="E56" i="3" s="1"/>
  <c r="F58" i="3"/>
  <c r="F57" i="3"/>
  <c r="I57" i="3" s="1"/>
  <c r="F56" i="3"/>
  <c r="G55" i="3"/>
  <c r="H55" i="3" s="1"/>
  <c r="F55" i="3"/>
  <c r="F54" i="3"/>
  <c r="E54" i="3"/>
  <c r="G54" i="3" s="1"/>
  <c r="H54" i="3" s="1"/>
  <c r="F53" i="3"/>
  <c r="E53" i="3"/>
  <c r="G53" i="3" s="1"/>
  <c r="H53" i="3" s="1"/>
  <c r="F52" i="3"/>
  <c r="E52" i="3"/>
  <c r="G52" i="3" s="1"/>
  <c r="H52" i="3" s="1"/>
  <c r="F51" i="3"/>
  <c r="E51" i="3"/>
  <c r="G51" i="3" s="1"/>
  <c r="H51" i="3" s="1"/>
  <c r="F50" i="3"/>
  <c r="E50" i="3"/>
  <c r="G50" i="3" s="1"/>
  <c r="H50" i="3" s="1"/>
  <c r="F49" i="3"/>
  <c r="E49" i="3"/>
  <c r="G49" i="3" s="1"/>
  <c r="H49" i="3" s="1"/>
  <c r="E47" i="3"/>
  <c r="F47" i="3" s="1"/>
  <c r="I47" i="3" s="1"/>
  <c r="H46" i="3"/>
  <c r="F46" i="3"/>
  <c r="I46" i="3" s="1"/>
  <c r="H45" i="3"/>
  <c r="F45" i="3"/>
  <c r="I45" i="3" s="1"/>
  <c r="K45" i="3" s="1"/>
  <c r="I44" i="3"/>
  <c r="F44" i="3"/>
  <c r="H43" i="3"/>
  <c r="F43" i="3"/>
  <c r="I43" i="3" s="1"/>
  <c r="H42" i="3"/>
  <c r="F42" i="3"/>
  <c r="I42" i="3" s="1"/>
  <c r="K42" i="3" s="1"/>
  <c r="L42" i="3" s="1"/>
  <c r="H41" i="3"/>
  <c r="F41" i="3"/>
  <c r="I41" i="3" s="1"/>
  <c r="F39" i="3"/>
  <c r="I39" i="3" s="1"/>
  <c r="K39" i="3" s="1"/>
  <c r="H38" i="3"/>
  <c r="F38" i="3"/>
  <c r="I38" i="3" s="1"/>
  <c r="H37" i="3"/>
  <c r="F37" i="3"/>
  <c r="I37" i="3" s="1"/>
  <c r="H35" i="3"/>
  <c r="F35" i="3"/>
  <c r="I35" i="3" s="1"/>
  <c r="K35" i="3" s="1"/>
  <c r="L35" i="3" s="1"/>
  <c r="H31" i="3"/>
  <c r="F31" i="3"/>
  <c r="I31" i="3" s="1"/>
  <c r="N28" i="3"/>
  <c r="H28" i="3"/>
  <c r="F28" i="3"/>
  <c r="I28" i="3" s="1"/>
  <c r="H25" i="3"/>
  <c r="F25" i="3"/>
  <c r="I25" i="3" s="1"/>
  <c r="K25" i="3" s="1"/>
  <c r="H24" i="3"/>
  <c r="F24" i="3"/>
  <c r="I24" i="3" s="1"/>
  <c r="K24" i="3" s="1"/>
  <c r="H23" i="3"/>
  <c r="F23" i="3"/>
  <c r="I23" i="3" s="1"/>
  <c r="F21" i="3"/>
  <c r="I21" i="3" s="1"/>
  <c r="C21" i="3"/>
  <c r="F20" i="3"/>
  <c r="H20" i="3" s="1"/>
  <c r="I20" i="3" s="1"/>
  <c r="C20" i="3"/>
  <c r="F19" i="3"/>
  <c r="I19" i="3" s="1"/>
  <c r="C19" i="3"/>
  <c r="H17" i="3"/>
  <c r="F17" i="3"/>
  <c r="I17" i="3" s="1"/>
  <c r="C17" i="3"/>
  <c r="H16" i="3"/>
  <c r="F16" i="3"/>
  <c r="I16" i="3" s="1"/>
  <c r="C16" i="3"/>
  <c r="I9" i="3"/>
  <c r="I11" i="3" s="1"/>
  <c r="G13" i="3" s="1"/>
  <c r="H9" i="3"/>
  <c r="H11" i="3" s="1"/>
  <c r="B62" i="2"/>
  <c r="C56" i="2" s="1"/>
  <c r="E56" i="2" s="1"/>
  <c r="G56" i="2" s="1"/>
  <c r="H56" i="2" s="1"/>
  <c r="F58" i="2"/>
  <c r="F57" i="2"/>
  <c r="I57" i="2" s="1"/>
  <c r="F56" i="2"/>
  <c r="G55" i="2"/>
  <c r="H55" i="2" s="1"/>
  <c r="I55" i="2" s="1"/>
  <c r="F55" i="2"/>
  <c r="F54" i="2"/>
  <c r="E54" i="2"/>
  <c r="G54" i="2" s="1"/>
  <c r="H54" i="2" s="1"/>
  <c r="I54" i="2" s="1"/>
  <c r="F53" i="2"/>
  <c r="E53" i="2"/>
  <c r="G53" i="2" s="1"/>
  <c r="H53" i="2" s="1"/>
  <c r="I53" i="2" s="1"/>
  <c r="F52" i="2"/>
  <c r="E52" i="2"/>
  <c r="G52" i="2" s="1"/>
  <c r="H52" i="2" s="1"/>
  <c r="F51" i="2"/>
  <c r="E51" i="2"/>
  <c r="G51" i="2" s="1"/>
  <c r="H51" i="2" s="1"/>
  <c r="F50" i="2"/>
  <c r="E50" i="2"/>
  <c r="G50" i="2" s="1"/>
  <c r="H50" i="2" s="1"/>
  <c r="I50" i="2" s="1"/>
  <c r="F49" i="2"/>
  <c r="E49" i="2"/>
  <c r="G49" i="2" s="1"/>
  <c r="H49" i="2" s="1"/>
  <c r="H47" i="2"/>
  <c r="E47" i="2"/>
  <c r="F47" i="2" s="1"/>
  <c r="I47" i="2" s="1"/>
  <c r="H46" i="2"/>
  <c r="F46" i="2"/>
  <c r="I46" i="2" s="1"/>
  <c r="H45" i="2"/>
  <c r="F45" i="2"/>
  <c r="I45" i="2" s="1"/>
  <c r="I44" i="2"/>
  <c r="K44" i="2" s="1"/>
  <c r="F44" i="2"/>
  <c r="H43" i="2"/>
  <c r="F43" i="2"/>
  <c r="I43" i="2" s="1"/>
  <c r="I42" i="2"/>
  <c r="H42" i="2"/>
  <c r="F42" i="2"/>
  <c r="H41" i="2"/>
  <c r="F41" i="2"/>
  <c r="I41" i="2" s="1"/>
  <c r="F39" i="2"/>
  <c r="I39" i="2" s="1"/>
  <c r="K39" i="2" s="1"/>
  <c r="L39" i="2" s="1"/>
  <c r="H38" i="2"/>
  <c r="F38" i="2"/>
  <c r="I38" i="2" s="1"/>
  <c r="H37" i="2"/>
  <c r="F37" i="2"/>
  <c r="I37" i="2" s="1"/>
  <c r="H35" i="2"/>
  <c r="F35" i="2"/>
  <c r="I35" i="2" s="1"/>
  <c r="H33" i="2"/>
  <c r="F33" i="2"/>
  <c r="I33" i="2" s="1"/>
  <c r="K33" i="2" s="1"/>
  <c r="L33" i="2" s="1"/>
  <c r="I31" i="2"/>
  <c r="K31" i="2" s="1"/>
  <c r="H31" i="2"/>
  <c r="F31" i="2"/>
  <c r="N28" i="2"/>
  <c r="H28" i="2"/>
  <c r="F28" i="2"/>
  <c r="I28" i="2" s="1"/>
  <c r="H25" i="2"/>
  <c r="F25" i="2"/>
  <c r="I25" i="2" s="1"/>
  <c r="I24" i="2"/>
  <c r="K24" i="2" s="1"/>
  <c r="H24" i="2"/>
  <c r="F24" i="2"/>
  <c r="H23" i="2"/>
  <c r="F23" i="2"/>
  <c r="I23" i="2" s="1"/>
  <c r="H21" i="2"/>
  <c r="F21" i="2"/>
  <c r="I21" i="2" s="1"/>
  <c r="C21" i="2"/>
  <c r="H20" i="2"/>
  <c r="I20" i="2" s="1"/>
  <c r="F20" i="2"/>
  <c r="C20" i="2"/>
  <c r="F19" i="2"/>
  <c r="I19" i="2" s="1"/>
  <c r="C19" i="2"/>
  <c r="H17" i="2"/>
  <c r="F17" i="2"/>
  <c r="I17" i="2" s="1"/>
  <c r="C17" i="2"/>
  <c r="H16" i="2"/>
  <c r="F16" i="2"/>
  <c r="I16" i="2" s="1"/>
  <c r="C16" i="2"/>
  <c r="I9" i="2"/>
  <c r="H9" i="2"/>
  <c r="H11" i="2" s="1"/>
  <c r="F18" i="1"/>
  <c r="C18" i="1"/>
  <c r="H18" i="1"/>
  <c r="I18" i="1"/>
  <c r="C17" i="1"/>
  <c r="B59" i="1"/>
  <c r="C53" i="1" s="1"/>
  <c r="E53" i="1" s="1"/>
  <c r="G53" i="1" s="1"/>
  <c r="H53" i="1" s="1"/>
  <c r="F55" i="1"/>
  <c r="F53" i="1"/>
  <c r="G52" i="1"/>
  <c r="H52" i="1" s="1"/>
  <c r="F52" i="1"/>
  <c r="F51" i="1"/>
  <c r="E51" i="1"/>
  <c r="G51" i="1" s="1"/>
  <c r="H51" i="1" s="1"/>
  <c r="E50" i="1"/>
  <c r="G50" i="1" s="1"/>
  <c r="H50" i="1" s="1"/>
  <c r="F49" i="1"/>
  <c r="E49" i="1"/>
  <c r="G49" i="1" s="1"/>
  <c r="H49" i="1" s="1"/>
  <c r="E48" i="1"/>
  <c r="G48" i="1" s="1"/>
  <c r="H48" i="1" s="1"/>
  <c r="E47" i="1"/>
  <c r="G47" i="1" s="1"/>
  <c r="H47" i="1" s="1"/>
  <c r="E46" i="1"/>
  <c r="G46" i="1" s="1"/>
  <c r="H46" i="1" s="1"/>
  <c r="E44" i="1"/>
  <c r="F44" i="1" s="1"/>
  <c r="I44" i="1" s="1"/>
  <c r="H43" i="1"/>
  <c r="H42" i="1"/>
  <c r="F42" i="1"/>
  <c r="I42" i="1" s="1"/>
  <c r="H40" i="1"/>
  <c r="H39" i="1"/>
  <c r="F39" i="1"/>
  <c r="I39" i="1" s="1"/>
  <c r="H38" i="1"/>
  <c r="H35" i="1"/>
  <c r="H34" i="1"/>
  <c r="H32" i="1"/>
  <c r="F32" i="1"/>
  <c r="I32" i="1" s="1"/>
  <c r="H30" i="1"/>
  <c r="F30" i="1"/>
  <c r="I30" i="1" s="1"/>
  <c r="H29" i="1"/>
  <c r="N28" i="1"/>
  <c r="H28" i="1"/>
  <c r="H25" i="1"/>
  <c r="F25" i="1"/>
  <c r="I25" i="1" s="1"/>
  <c r="H24" i="1"/>
  <c r="H23" i="1"/>
  <c r="F23" i="1"/>
  <c r="I23" i="1" s="1"/>
  <c r="C21" i="1"/>
  <c r="C20" i="1"/>
  <c r="C19" i="1"/>
  <c r="H17" i="1"/>
  <c r="H16" i="1"/>
  <c r="C16" i="1"/>
  <c r="F48" i="1"/>
  <c r="H9" i="1"/>
  <c r="H11" i="1" s="1"/>
  <c r="I51" i="1" l="1"/>
  <c r="I49" i="1"/>
  <c r="I56" i="2"/>
  <c r="I51" i="2"/>
  <c r="I49" i="2"/>
  <c r="I52" i="2"/>
  <c r="I43" i="5"/>
  <c r="G56" i="3"/>
  <c r="H56" i="3" s="1"/>
  <c r="I56" i="3" s="1"/>
  <c r="K56" i="3" s="1"/>
  <c r="L56" i="3" s="1"/>
  <c r="I52" i="3"/>
  <c r="K52" i="3" s="1"/>
  <c r="L52" i="3" s="1"/>
  <c r="L25" i="3"/>
  <c r="L45" i="3"/>
  <c r="I49" i="3"/>
  <c r="K49" i="3" s="1"/>
  <c r="L49" i="3" s="1"/>
  <c r="I53" i="3"/>
  <c r="I51" i="3"/>
  <c r="I55" i="3"/>
  <c r="K55" i="3" s="1"/>
  <c r="L55" i="3" s="1"/>
  <c r="H47" i="3"/>
  <c r="I54" i="3"/>
  <c r="K54" i="3" s="1"/>
  <c r="L54" i="3" s="1"/>
  <c r="G51" i="8"/>
  <c r="G52" i="8" s="1"/>
  <c r="D62" i="8"/>
  <c r="D64" i="8" s="1"/>
  <c r="F62" i="8"/>
  <c r="F64" i="8" s="1"/>
  <c r="K58" i="7"/>
  <c r="L48" i="7"/>
  <c r="L58" i="7" s="1"/>
  <c r="E68" i="7" s="1"/>
  <c r="D72" i="7" s="1"/>
  <c r="D73" i="7" s="1"/>
  <c r="D75" i="7" s="1"/>
  <c r="E67" i="7"/>
  <c r="F72" i="7" s="1"/>
  <c r="F73" i="7" s="1"/>
  <c r="F75" i="7" s="1"/>
  <c r="G62" i="7"/>
  <c r="G63" i="7" s="1"/>
  <c r="G65" i="7" s="1"/>
  <c r="K20" i="5"/>
  <c r="L20" i="5" s="1"/>
  <c r="K43" i="5"/>
  <c r="L9" i="5"/>
  <c r="L11" i="5" s="1"/>
  <c r="G14" i="5" s="1"/>
  <c r="D66" i="5" s="1"/>
  <c r="L16" i="5"/>
  <c r="L43" i="5" s="1"/>
  <c r="F71" i="3"/>
  <c r="G61" i="3"/>
  <c r="K51" i="3"/>
  <c r="L51" i="3" s="1"/>
  <c r="K53" i="3"/>
  <c r="L53" i="3" s="1"/>
  <c r="K20" i="3"/>
  <c r="L20" i="3" s="1"/>
  <c r="K57" i="3"/>
  <c r="L57" i="3" s="1"/>
  <c r="K38" i="3"/>
  <c r="L38" i="3" s="1"/>
  <c r="K47" i="3"/>
  <c r="L47" i="3" s="1"/>
  <c r="K23" i="3"/>
  <c r="L23" i="3" s="1"/>
  <c r="K28" i="3"/>
  <c r="L28" i="3" s="1"/>
  <c r="L39" i="3"/>
  <c r="K43" i="3"/>
  <c r="L43" i="3" s="1"/>
  <c r="K17" i="3"/>
  <c r="L17" i="3" s="1"/>
  <c r="K41" i="3"/>
  <c r="L41" i="3" s="1"/>
  <c r="I50" i="3"/>
  <c r="K19" i="3"/>
  <c r="L19" i="3" s="1"/>
  <c r="H19" i="3"/>
  <c r="K21" i="3"/>
  <c r="L21" i="3" s="1"/>
  <c r="K46" i="3"/>
  <c r="L46" i="3" s="1"/>
  <c r="K37" i="3"/>
  <c r="L37" i="3" s="1"/>
  <c r="L24" i="3"/>
  <c r="I48" i="3"/>
  <c r="K44" i="3"/>
  <c r="L44" i="3" s="1"/>
  <c r="K16" i="3"/>
  <c r="K31" i="3"/>
  <c r="L31" i="3" s="1"/>
  <c r="K9" i="3"/>
  <c r="K11" i="3" s="1"/>
  <c r="L9" i="3"/>
  <c r="L11" i="3" s="1"/>
  <c r="G14" i="3" s="1"/>
  <c r="D71" i="3" s="1"/>
  <c r="H21" i="3"/>
  <c r="I11" i="2"/>
  <c r="G13" i="2" s="1"/>
  <c r="G61" i="2" s="1"/>
  <c r="K9" i="2"/>
  <c r="K11" i="2" s="1"/>
  <c r="K43" i="2"/>
  <c r="L43" i="2" s="1"/>
  <c r="K56" i="2"/>
  <c r="L56" i="2" s="1"/>
  <c r="K19" i="2"/>
  <c r="L19" i="2" s="1"/>
  <c r="K51" i="2"/>
  <c r="L51" i="2" s="1"/>
  <c r="K52" i="2"/>
  <c r="L52" i="2" s="1"/>
  <c r="K20" i="2"/>
  <c r="L20" i="2" s="1"/>
  <c r="K45" i="2"/>
  <c r="L45" i="2" s="1"/>
  <c r="K25" i="2"/>
  <c r="L25" i="2"/>
  <c r="K21" i="2"/>
  <c r="L21" i="2" s="1"/>
  <c r="K46" i="2"/>
  <c r="L46" i="2" s="1"/>
  <c r="K50" i="2"/>
  <c r="L50" i="2" s="1"/>
  <c r="K54" i="2"/>
  <c r="L54" i="2" s="1"/>
  <c r="K23" i="2"/>
  <c r="L23" i="2" s="1"/>
  <c r="K47" i="2"/>
  <c r="L47" i="2" s="1"/>
  <c r="K55" i="2"/>
  <c r="L55" i="2" s="1"/>
  <c r="K49" i="2"/>
  <c r="L49" i="2" s="1"/>
  <c r="K17" i="2"/>
  <c r="L17" i="2" s="1"/>
  <c r="K41" i="2"/>
  <c r="L41" i="2" s="1"/>
  <c r="K53" i="2"/>
  <c r="L53" i="2" s="1"/>
  <c r="K37" i="2"/>
  <c r="L37" i="2" s="1"/>
  <c r="K28" i="2"/>
  <c r="L28" i="2" s="1"/>
  <c r="K38" i="2"/>
  <c r="L38" i="2" s="1"/>
  <c r="K42" i="2"/>
  <c r="L42" i="2" s="1"/>
  <c r="K16" i="2"/>
  <c r="L16" i="2" s="1"/>
  <c r="H19" i="2"/>
  <c r="H48" i="2" s="1"/>
  <c r="H58" i="2" s="1"/>
  <c r="K57" i="2"/>
  <c r="L57" i="2" s="1"/>
  <c r="L24" i="2"/>
  <c r="L31" i="2"/>
  <c r="L44" i="2"/>
  <c r="I48" i="2"/>
  <c r="I58" i="2" s="1"/>
  <c r="K35" i="2"/>
  <c r="L35" i="2" s="1"/>
  <c r="K18" i="1"/>
  <c r="L18" i="1" s="1"/>
  <c r="I9" i="1"/>
  <c r="I11" i="1" s="1"/>
  <c r="G13" i="1" s="1"/>
  <c r="F68" i="1" s="1"/>
  <c r="I52" i="1"/>
  <c r="K52" i="1" s="1"/>
  <c r="L52" i="1" s="1"/>
  <c r="I53" i="1"/>
  <c r="K53" i="1" s="1"/>
  <c r="L53" i="1" s="1"/>
  <c r="K44" i="1"/>
  <c r="L44" i="1" s="1"/>
  <c r="K23" i="1"/>
  <c r="L23" i="1" s="1"/>
  <c r="I48" i="1"/>
  <c r="K25" i="1"/>
  <c r="L25" i="1" s="1"/>
  <c r="K32" i="1"/>
  <c r="L32" i="1" s="1"/>
  <c r="K42" i="1"/>
  <c r="L42" i="1" s="1"/>
  <c r="K49" i="1"/>
  <c r="L49" i="1" s="1"/>
  <c r="K51" i="1"/>
  <c r="L51" i="1" s="1"/>
  <c r="K30" i="1"/>
  <c r="L30" i="1" s="1"/>
  <c r="K39" i="1"/>
  <c r="L39" i="1" s="1"/>
  <c r="F35" i="1"/>
  <c r="I35" i="1" s="1"/>
  <c r="F41" i="1"/>
  <c r="H44" i="1"/>
  <c r="F47" i="1"/>
  <c r="I47" i="1" s="1"/>
  <c r="F54" i="1"/>
  <c r="I54" i="1" s="1"/>
  <c r="F19" i="1"/>
  <c r="F28" i="1"/>
  <c r="I28" i="1" s="1"/>
  <c r="F38" i="1"/>
  <c r="I38" i="1" s="1"/>
  <c r="I41" i="1"/>
  <c r="F43" i="1"/>
  <c r="I43" i="1" s="1"/>
  <c r="F46" i="1"/>
  <c r="I46" i="1" s="1"/>
  <c r="F17" i="1"/>
  <c r="I17" i="1" s="1"/>
  <c r="F34" i="1"/>
  <c r="I34" i="1" s="1"/>
  <c r="F40" i="1"/>
  <c r="I40" i="1" s="1"/>
  <c r="F16" i="1"/>
  <c r="I16" i="1" s="1"/>
  <c r="F21" i="1"/>
  <c r="F36" i="1"/>
  <c r="I36" i="1" s="1"/>
  <c r="F50" i="1"/>
  <c r="I50" i="1" s="1"/>
  <c r="F20" i="1"/>
  <c r="H20" i="1" s="1"/>
  <c r="I20" i="1" s="1"/>
  <c r="F24" i="1"/>
  <c r="I24" i="1" s="1"/>
  <c r="F29" i="1"/>
  <c r="I29" i="1" s="1"/>
  <c r="F71" i="2" l="1"/>
  <c r="H48" i="3"/>
  <c r="H58" i="3" s="1"/>
  <c r="G54" i="8"/>
  <c r="H54" i="8"/>
  <c r="B53" i="8" s="1"/>
  <c r="B54" i="8" s="1"/>
  <c r="H65" i="7"/>
  <c r="B64" i="7" s="1"/>
  <c r="B65" i="7" s="1"/>
  <c r="K50" i="3"/>
  <c r="L50" i="3" s="1"/>
  <c r="K48" i="3"/>
  <c r="K58" i="3" s="1"/>
  <c r="L16" i="3"/>
  <c r="L48" i="3" s="1"/>
  <c r="I58" i="3"/>
  <c r="L9" i="2"/>
  <c r="L11" i="2" s="1"/>
  <c r="G14" i="2" s="1"/>
  <c r="D71" i="2" s="1"/>
  <c r="E67" i="2"/>
  <c r="F72" i="2" s="1"/>
  <c r="F73" i="2" s="1"/>
  <c r="F75" i="2" s="1"/>
  <c r="G62" i="2"/>
  <c r="G63" i="2" s="1"/>
  <c r="L48" i="2"/>
  <c r="L58" i="2" s="1"/>
  <c r="E68" i="2" s="1"/>
  <c r="D72" i="2" s="1"/>
  <c r="D73" i="2" s="1"/>
  <c r="D75" i="2" s="1"/>
  <c r="K48" i="2"/>
  <c r="K58" i="2" s="1"/>
  <c r="K9" i="1"/>
  <c r="K11" i="1" s="1"/>
  <c r="G58" i="1"/>
  <c r="K41" i="1"/>
  <c r="L41" i="1" s="1"/>
  <c r="K38" i="1"/>
  <c r="L38" i="1" s="1"/>
  <c r="K40" i="1"/>
  <c r="L40" i="1" s="1"/>
  <c r="K35" i="1"/>
  <c r="L35" i="1" s="1"/>
  <c r="K29" i="1"/>
  <c r="L29" i="1" s="1"/>
  <c r="K34" i="1"/>
  <c r="L34" i="1" s="1"/>
  <c r="K28" i="1"/>
  <c r="L28" i="1" s="1"/>
  <c r="K24" i="1"/>
  <c r="L24" i="1" s="1"/>
  <c r="K17" i="1"/>
  <c r="L17" i="1" s="1"/>
  <c r="I19" i="1"/>
  <c r="H19" i="1"/>
  <c r="K46" i="1"/>
  <c r="L46" i="1" s="1"/>
  <c r="I21" i="1"/>
  <c r="H21" i="1"/>
  <c r="K16" i="1"/>
  <c r="L16" i="1" s="1"/>
  <c r="K47" i="1"/>
  <c r="L47" i="1" s="1"/>
  <c r="K20" i="1"/>
  <c r="L20" i="1" s="1"/>
  <c r="K50" i="1"/>
  <c r="L50" i="1" s="1"/>
  <c r="K54" i="1"/>
  <c r="L54" i="1" s="1"/>
  <c r="K36" i="1"/>
  <c r="L36" i="1"/>
  <c r="K43" i="1"/>
  <c r="L43" i="1" s="1"/>
  <c r="K48" i="1"/>
  <c r="L48" i="1" s="1"/>
  <c r="G65" i="2" l="1"/>
  <c r="H65" i="2"/>
  <c r="B64" i="2" s="1"/>
  <c r="B65" i="2" s="1"/>
  <c r="L58" i="3"/>
  <c r="E68" i="3" s="1"/>
  <c r="D72" i="3" s="1"/>
  <c r="D73" i="3" s="1"/>
  <c r="D75" i="3" s="1"/>
  <c r="E67" i="3"/>
  <c r="F72" i="3" s="1"/>
  <c r="F73" i="3" s="1"/>
  <c r="F75" i="3" s="1"/>
  <c r="G62" i="3"/>
  <c r="G63" i="3" s="1"/>
  <c r="L9" i="1"/>
  <c r="L11" i="1" s="1"/>
  <c r="G14" i="1" s="1"/>
  <c r="D68" i="1" s="1"/>
  <c r="H45" i="1"/>
  <c r="H55" i="1" s="1"/>
  <c r="I45" i="1"/>
  <c r="I55" i="1" s="1"/>
  <c r="E64" i="1" s="1"/>
  <c r="F69" i="1" s="1"/>
  <c r="F70" i="1" s="1"/>
  <c r="F72" i="1" s="1"/>
  <c r="K21" i="1"/>
  <c r="L21" i="1" s="1"/>
  <c r="K19" i="1"/>
  <c r="K45" i="1" s="1"/>
  <c r="K55" i="1" s="1"/>
  <c r="G59" i="1" l="1"/>
  <c r="G60" i="1" s="1"/>
  <c r="G65" i="3"/>
  <c r="H65" i="3"/>
  <c r="B64" i="3" s="1"/>
  <c r="B65" i="3" s="1"/>
  <c r="L19" i="1"/>
  <c r="L45" i="1" s="1"/>
  <c r="L55" i="1" s="1"/>
  <c r="E65" i="1" s="1"/>
  <c r="D69" i="1" s="1"/>
  <c r="D70" i="1" s="1"/>
  <c r="D72" i="1" s="1"/>
  <c r="C51" i="5"/>
  <c r="E51" i="5" l="1"/>
  <c r="G51" i="5" s="1"/>
  <c r="H51" i="5" s="1"/>
  <c r="G62" i="1"/>
  <c r="H62" i="1"/>
  <c r="B61" i="1" s="1"/>
  <c r="B62" i="1" s="1"/>
  <c r="I51" i="5" l="1"/>
  <c r="I53" i="5" s="1"/>
  <c r="H53" i="5"/>
  <c r="K51" i="5" l="1"/>
  <c r="K53" i="5" s="1"/>
  <c r="E62" i="5"/>
  <c r="F67" i="5" s="1"/>
  <c r="F68" i="5" s="1"/>
  <c r="F70" i="5" s="1"/>
  <c r="G57" i="5"/>
  <c r="G58" i="5" s="1"/>
  <c r="L51" i="5" l="1"/>
  <c r="L53" i="5" s="1"/>
  <c r="E63" i="5" s="1"/>
  <c r="D67" i="5" s="1"/>
  <c r="D68" i="5" s="1"/>
  <c r="D70" i="5" s="1"/>
  <c r="G60" i="5"/>
  <c r="H60" i="5"/>
  <c r="B59" i="5" s="1"/>
  <c r="B60" i="5" s="1"/>
  <c r="B54" i="16" l="1"/>
  <c r="C48" i="16" s="1"/>
  <c r="G48" i="16" s="1"/>
  <c r="H48" i="16" s="1"/>
  <c r="H50" i="16" l="1"/>
  <c r="I48" i="16"/>
  <c r="I50" i="16" l="1"/>
  <c r="K48" i="16"/>
  <c r="K50" i="16" s="1"/>
  <c r="E59" i="16" l="1"/>
  <c r="F64" i="16" s="1"/>
  <c r="F65" i="16" s="1"/>
  <c r="F67" i="16" s="1"/>
  <c r="G54" i="16"/>
  <c r="G55" i="16" s="1"/>
  <c r="L48" i="16"/>
  <c r="L50" i="16" s="1"/>
  <c r="E60" i="16" s="1"/>
  <c r="D64" i="16" s="1"/>
  <c r="D65" i="16" s="1"/>
  <c r="D67" i="16" s="1"/>
  <c r="G57" i="16" l="1"/>
  <c r="H57" i="16"/>
  <c r="B56" i="16" s="1"/>
  <c r="B57" i="16" s="1"/>
</calcChain>
</file>

<file path=xl/sharedStrings.xml><?xml version="1.0" encoding="utf-8"?>
<sst xmlns="http://schemas.openxmlformats.org/spreadsheetml/2006/main" count="2417" uniqueCount="249">
  <si>
    <t>PAKKAR TANVEER EXPORTS</t>
  </si>
  <si>
    <t xml:space="preserve">FACTORY STYLE </t>
  </si>
  <si>
    <t>Buyer Po:  John Peter s.r.l.</t>
  </si>
  <si>
    <t>Style Group</t>
  </si>
  <si>
    <t>Material</t>
  </si>
  <si>
    <t>Colour</t>
  </si>
  <si>
    <t>UOM</t>
  </si>
  <si>
    <t>Norms</t>
  </si>
  <si>
    <t>Total Qty</t>
  </si>
  <si>
    <t>Price</t>
  </si>
  <si>
    <t>Per Pair Amount</t>
  </si>
  <si>
    <t>AMOUNT</t>
  </si>
  <si>
    <t>GST</t>
  </si>
  <si>
    <t>AMOUNT WITH GST</t>
  </si>
  <si>
    <t>SHEEP</t>
  </si>
  <si>
    <t>RATE</t>
  </si>
  <si>
    <t>GOAT SUEDE 0.7/0.8 ----------225+148</t>
  </si>
  <si>
    <t>DCM</t>
  </si>
  <si>
    <t>J24 WHISKY</t>
  </si>
  <si>
    <t>No GST</t>
  </si>
  <si>
    <t>Per Pair</t>
  </si>
  <si>
    <t>With GST</t>
  </si>
  <si>
    <t>LINING</t>
  </si>
  <si>
    <t xml:space="preserve">POLYSTER SATIIN LINING  </t>
  </si>
  <si>
    <t>MTR</t>
  </si>
  <si>
    <t>ECO DOWN FILLING 100 /80</t>
  </si>
  <si>
    <t>THREADS</t>
  </si>
  <si>
    <t>TKT-30</t>
  </si>
  <si>
    <t>BOX</t>
  </si>
  <si>
    <t>TKT-60</t>
  </si>
  <si>
    <t>TKT 50</t>
  </si>
  <si>
    <t xml:space="preserve">FUSING </t>
  </si>
  <si>
    <t xml:space="preserve">FUSING COTTONS </t>
  </si>
  <si>
    <t xml:space="preserve">GREY </t>
  </si>
  <si>
    <t>MTS</t>
  </si>
  <si>
    <t xml:space="preserve">SOLUTIONS </t>
  </si>
  <si>
    <t>NA</t>
  </si>
  <si>
    <t>LITTER</t>
  </si>
  <si>
    <t>PAKKA TAP 3 MM</t>
  </si>
  <si>
    <t xml:space="preserve">WHITE </t>
  </si>
  <si>
    <t xml:space="preserve">Jerry </t>
  </si>
  <si>
    <t xml:space="preserve">ZIP </t>
  </si>
  <si>
    <t xml:space="preserve"> N8-ANTIQUE BRASS FINISHING TWO WAY</t>
  </si>
  <si>
    <t>NOS</t>
  </si>
  <si>
    <t>CFC ZIP NO : 3</t>
  </si>
  <si>
    <t xml:space="preserve">SNAP BUTTONS </t>
  </si>
  <si>
    <t>WASH &amp; TEATMENTS CHARGES</t>
  </si>
  <si>
    <t>LABELS</t>
  </si>
  <si>
    <t xml:space="preserve">MAIN LABEL </t>
  </si>
  <si>
    <t>CARE LABEL</t>
  </si>
  <si>
    <t>SIZE LABEL</t>
  </si>
  <si>
    <t>PACKING  MATERIALS</t>
  </si>
  <si>
    <t xml:space="preserve">TAG </t>
  </si>
  <si>
    <t>STICKER</t>
  </si>
  <si>
    <t>POLY BAG</t>
  </si>
  <si>
    <t>KG</t>
  </si>
  <si>
    <t xml:space="preserve">BOX INNER PLY COVER </t>
  </si>
  <si>
    <t xml:space="preserve">TISSU PAPPER </t>
  </si>
  <si>
    <t>RIM</t>
  </si>
  <si>
    <t xml:space="preserve">BOXES </t>
  </si>
  <si>
    <t>PACKING TAPE</t>
  </si>
  <si>
    <t>BROWN</t>
  </si>
  <si>
    <t>ROLL</t>
  </si>
  <si>
    <t>General</t>
  </si>
  <si>
    <r>
      <t>TESTING  CHARGES-</t>
    </r>
    <r>
      <rPr>
        <sz val="9"/>
        <color rgb="FFFF0000"/>
        <rFont val="Book Antiqua"/>
        <family val="1"/>
      </rPr>
      <t>BUYER 1%</t>
    </r>
  </si>
  <si>
    <t>GST CHARGE - 1%</t>
  </si>
  <si>
    <t>OFFICE O.H 5%</t>
  </si>
  <si>
    <r>
      <t>COMMISSION 7</t>
    </r>
    <r>
      <rPr>
        <strike/>
        <sz val="9"/>
        <color theme="1"/>
        <rFont val="Book Antiqua"/>
        <family val="1"/>
      </rPr>
      <t>%</t>
    </r>
  </si>
  <si>
    <t xml:space="preserve"> .</t>
  </si>
  <si>
    <t>DISCOUNT CHARGE 2.5%</t>
  </si>
  <si>
    <t>REJECTION 2%</t>
  </si>
  <si>
    <t>MAKING COST</t>
  </si>
  <si>
    <t>IMPORT CLEARING CHARGES 5 %</t>
  </si>
  <si>
    <t>C&amp;F</t>
  </si>
  <si>
    <t>FIRGHTCLEARING CHARGES</t>
  </si>
  <si>
    <t>With out  GST</t>
  </si>
  <si>
    <t>EURO</t>
  </si>
  <si>
    <t>LEATHER   PER   PAIR</t>
  </si>
  <si>
    <t>MATERIALS   PER   PAIR</t>
  </si>
  <si>
    <t>Total  Cost</t>
  </si>
  <si>
    <t>Materials</t>
  </si>
  <si>
    <t>NO GST</t>
  </si>
  <si>
    <t>LEATHER   PER   GARMENTS</t>
  </si>
  <si>
    <t xml:space="preserve">MATERIALS   PER   GARMENTS </t>
  </si>
  <si>
    <t xml:space="preserve"> STYLE NO        :   ROBERT </t>
  </si>
  <si>
    <t>CUTTING AVG  425</t>
  </si>
  <si>
    <t xml:space="preserve">LINING STITCHING CHARGES </t>
  </si>
  <si>
    <t xml:space="preserve"> STYLE NO        :   TOWER </t>
  </si>
  <si>
    <t>CUTTING AVG  384</t>
  </si>
  <si>
    <t>FOREST</t>
  </si>
  <si>
    <t xml:space="preserve">40 GSM PADDING </t>
  </si>
  <si>
    <t xml:space="preserve"> STYLE NO        :   ISLAY</t>
  </si>
  <si>
    <t>ALGA</t>
  </si>
  <si>
    <t xml:space="preserve">Style </t>
  </si>
  <si>
    <t>Men's &amp; Women's</t>
  </si>
  <si>
    <t xml:space="preserve">PROTO  Colour requested </t>
  </si>
  <si>
    <t xml:space="preserve">PROTO  pattern factory correction </t>
  </si>
  <si>
    <t>PTOTO Pattern Recevied Date</t>
  </si>
  <si>
    <t>PROTO    sample dispatched Date</t>
  </si>
  <si>
    <t xml:space="preserve">SMS QTY RECEVIED DATE </t>
  </si>
  <si>
    <t>SMS Pattern Recevied Date</t>
  </si>
  <si>
    <t xml:space="preserve">SMS  tech  sheet Recevied date </t>
  </si>
  <si>
    <t xml:space="preserve">DATE </t>
  </si>
  <si>
    <t xml:space="preserve">ISLAY </t>
  </si>
  <si>
    <t xml:space="preserve">651 ALGA </t>
  </si>
  <si>
    <t>JACKIE</t>
  </si>
  <si>
    <t>TOWER</t>
  </si>
  <si>
    <t xml:space="preserve"> FOREST</t>
  </si>
  <si>
    <t>JACK</t>
  </si>
  <si>
    <t>ROBERT</t>
  </si>
  <si>
    <t xml:space="preserve">WHISKY </t>
  </si>
  <si>
    <t xml:space="preserve">DHL AWB  NO </t>
  </si>
  <si>
    <t xml:space="preserve">REESE MIX </t>
  </si>
  <si>
    <t xml:space="preserve">NAVY </t>
  </si>
  <si>
    <t>SHINOBI KNIT</t>
  </si>
  <si>
    <t>DARK BROWN</t>
  </si>
  <si>
    <t xml:space="preserve">PROTO  Tech sheet  Received date </t>
  </si>
  <si>
    <t xml:space="preserve"> FRANCIS KNIT padded detachable</t>
  </si>
  <si>
    <t>FRANCIS KNIT ECO FUR detachable</t>
  </si>
  <si>
    <t>CHOCOLATE</t>
  </si>
  <si>
    <t xml:space="preserve">JACK </t>
  </si>
  <si>
    <t>CLERMONT</t>
  </si>
  <si>
    <t>S.NO.</t>
  </si>
  <si>
    <t>WASHING ADDED</t>
  </si>
  <si>
    <t>-</t>
  </si>
  <si>
    <t>AMENDEMENTS</t>
  </si>
  <si>
    <t xml:space="preserve">FUR  / KNITS / RIB  SUPPLIER </t>
  </si>
  <si>
    <t xml:space="preserve">BOTTOM BODY AND CUFF WITH RIB:
&gt; ACRYLIC YARN
&gt; ENGLISH KNIT
&gt; SINGLE LAYER 
&gt;col. ANTHRACYTE *BOTTOM BODY RIB: HEIGHT 8 CM VISIBLE
*CUFF RIB : HEIGHT 12 CM VISIBLE
WE KINDLY ASK TO PRINCE SUPPLIER TO MAKE THIS BORDER FOR PROTO  </t>
  </si>
  <si>
    <t xml:space="preserve"> STYLE NO        :  REESE MIX </t>
  </si>
  <si>
    <t>CUTTING AVG  135</t>
  </si>
  <si>
    <t xml:space="preserve">BLUE </t>
  </si>
  <si>
    <t xml:space="preserve"> N5-TWO WAY NICKEL HIGH SHIN FINISHING </t>
  </si>
  <si>
    <t>KG (10/10/25) WINTER ACRYLIC KNITTING col MARRONE (as per knit swatch color sent to Mr Aejaz) RECEIVED DATE  :  21-10-2025</t>
  </si>
  <si>
    <t>KG (10/10/25) WINTER ACRYLIC KNITTING col MARRONE (as per knit swatch sent you )   RECEIVED DATE  :  21-10-2025</t>
  </si>
  <si>
    <t>KG  (10/10/25) WINTER ACRYLIC KNITTING col DARK BLUE ----- RECEIVED DATE  :  21-10-2025</t>
  </si>
  <si>
    <t>RIB RECEIVED DATE 22-10-2025</t>
  </si>
  <si>
    <t xml:space="preserve"> DANTE MIX  WINTER </t>
  </si>
  <si>
    <t>VANILLA/ICE</t>
  </si>
  <si>
    <t>PLEASE USE WINTER 2X2 RIB 
RIB COLOR BEIGE MELANGE, AS PER #FRANCIS KNIT AW2526
&gt;RIB SINGLE FOR CUFFS AND BOTTOM
&gt;RIB SINGLE FOR INSIDE COLLAR 1X1 WEAVING
&gt;&gt;&gt;&gt;SAME WEAVING AS PER #FRANCIS KNIT RIBBED PART AW2526
TO CLEAN THE INSIDE KNIT RIB JOINTS PLEASE USE SUEDE LEATHER RECTANGLES with CLEAN CUT EDGES, INSIDE CUFFS AND BOTTOM INSIDE SIDE-SEAMS (between the front and back)
&gt;CUT AND STITCH THESE LEATHER RECTANGLES MORE PRECISE as POSSIBLE
&gt;MAKE THESE LEATHER RECTANGLES SMALLER AS POSSIBLE
INSIDE NECKLINE COLLAR RIB HAS A LEATHER STRIP TO HIDE THE ALLOWANCE OF INSIDE COLLAR RIB, AS PER #FRANCIS KNIT AW2526</t>
  </si>
  <si>
    <t xml:space="preserve"> STYLE NO        :   SHINOBI KNIT</t>
  </si>
  <si>
    <t xml:space="preserve">GOAT SUEDE 0.7/0.8 </t>
  </si>
  <si>
    <t xml:space="preserve">KNITS KG </t>
  </si>
  <si>
    <t xml:space="preserve">KNITS KG TRANPORTS </t>
  </si>
  <si>
    <t>CUTTING AVG  144</t>
  </si>
  <si>
    <t xml:space="preserve">CFC ZIP IN GUN METAL </t>
  </si>
  <si>
    <t xml:space="preserve">GROSS GRAIN TAP BROWN </t>
  </si>
  <si>
    <t xml:space="preserve">3/3 SNAP BUTTONS GUN METAL </t>
  </si>
  <si>
    <t xml:space="preserve">COTTON LINING  POCKET </t>
  </si>
  <si>
    <t xml:space="preserve"> N5-HIGH SHINE FINISHING TWO WAY</t>
  </si>
  <si>
    <t xml:space="preserve"> STYLE NO        :   SHINOBI KNIT + DETACHABEL </t>
  </si>
  <si>
    <t xml:space="preserve">POLYSTER LINING  </t>
  </si>
  <si>
    <t xml:space="preserve">ELASTIC TAP </t>
  </si>
  <si>
    <t>INDIAN PADDING BODY 40 GSM</t>
  </si>
  <si>
    <t>INDIAN PADDING BODY 80 GSM</t>
  </si>
  <si>
    <t xml:space="preserve">MAIN LABEL EMBOSSED </t>
  </si>
  <si>
    <t>MACHINE DIAMOND QUILTING CHARGES 38</t>
  </si>
  <si>
    <t xml:space="preserve">DARK BLUE </t>
  </si>
  <si>
    <t>CUTTING AVG - 120</t>
  </si>
  <si>
    <t xml:space="preserve">COTTONS LINING  </t>
  </si>
  <si>
    <t xml:space="preserve">TOUPE </t>
  </si>
  <si>
    <t xml:space="preserve">NO: 3 CFC ZIP PULL IN NICKEL </t>
  </si>
  <si>
    <t xml:space="preserve">5/5 SANPBUTTONS NICKEL </t>
  </si>
  <si>
    <t>NICKEL</t>
  </si>
  <si>
    <t xml:space="preserve">GROSS GRAINTAP </t>
  </si>
  <si>
    <t>BLUE</t>
  </si>
  <si>
    <t xml:space="preserve">L/18 BUTTONS  </t>
  </si>
  <si>
    <t xml:space="preserve"> NOS</t>
  </si>
  <si>
    <t xml:space="preserve">MAIN LABEL  EMBORDIERY </t>
  </si>
  <si>
    <t xml:space="preserve">MAIN LABEL EMBOSSING </t>
  </si>
  <si>
    <t xml:space="preserve">Nickel Eyeletes  600 mm </t>
  </si>
  <si>
    <t xml:space="preserve">BUYER PRICE  42 EURO </t>
  </si>
  <si>
    <t xml:space="preserve">WINTER ACRYLIC KNITTING COLOUR BLUE </t>
  </si>
  <si>
    <t>GOAT SUEDE 7/8  -</t>
  </si>
  <si>
    <t xml:space="preserve">NO :  5 TWO WAY  NICKEL ZIP  </t>
  </si>
  <si>
    <t xml:space="preserve"> STYLE NO        : FRANCIS KNIT  +DETACHABLE</t>
  </si>
  <si>
    <t>GOAT SUEDE 0.4 mm</t>
  </si>
  <si>
    <t xml:space="preserve">TAFFTA LINING </t>
  </si>
  <si>
    <t xml:space="preserve">ZIPPER </t>
  </si>
  <si>
    <t xml:space="preserve">NO : 5 TWO WAY  NICKEL ZIP  </t>
  </si>
  <si>
    <t>ELASTIC  - 3MM</t>
  </si>
  <si>
    <t xml:space="preserve">BUYER PRICE 12 EURO </t>
  </si>
  <si>
    <t xml:space="preserve"> STYLE NO        :   FRANCIS KNIT + WITH DETACHABLE PADDED LINING </t>
  </si>
  <si>
    <t xml:space="preserve"> STYLE NO        :   FRANCIS KNIT + WITH DETACHABLE FUR</t>
  </si>
  <si>
    <t>ALMA KNIT</t>
  </si>
  <si>
    <t xml:space="preserve">JACKIE </t>
  </si>
  <si>
    <t xml:space="preserve">SANDY SUEDE SKIRT </t>
  </si>
  <si>
    <t>SLEEVES IN KNIT -&gt; PROVIDED BY YOU
&gt; ACRYLIC YARN 
&gt; ENGLISH KNITTING
&gt; col.BROWN MELANGE
&gt;&gt; THIS KNITTED PANELS SHOULD BE ORDERED TO PRINCE SUPPLIER
CUFFS IN SUEDE WITH ELASTIC INSIDE
&gt;&gt; THE SLEEVE SHOULD BE STITCHED INSERTED INSIDE THE ARMHOLE 
AND SHOULD BE FLAYING THE BOTTOM PART AS PER PICTURE AT SIDE_ PLEASE FOLLWO PROTO PATTERN TO MAKE THE RIGTH CONSTRUCTION</t>
  </si>
  <si>
    <t xml:space="preserve">SAMPLES DETAILS OF AW26/27 JOHN PETER </t>
  </si>
  <si>
    <t>Proto is ready</t>
  </si>
  <si>
    <t xml:space="preserve">Pattern Wating </t>
  </si>
  <si>
    <t xml:space="preserve">LAST PRODCUTION  PRICE  42 EURO </t>
  </si>
  <si>
    <t xml:space="preserve"> STYLE NO        : FRANCIS KNIT  +DETACHABLE FUR </t>
  </si>
  <si>
    <t xml:space="preserve"> STYLE NO        :   CLEREMONT </t>
  </si>
  <si>
    <t>GOAT SUEDE 0.7/0.8 ----------</t>
  </si>
  <si>
    <t>CUTTING AVG  413</t>
  </si>
  <si>
    <t xml:space="preserve"> STYLE NO        :   VEST -1</t>
  </si>
  <si>
    <t>INDIAN PADDING BODY 60 GSM</t>
  </si>
  <si>
    <t xml:space="preserve">NO : 8 TWO WAY  NICKEL ZIP  </t>
  </si>
  <si>
    <t xml:space="preserve">RIB COLLAR </t>
  </si>
  <si>
    <t xml:space="preserve">NOVEN FUSING </t>
  </si>
  <si>
    <t xml:space="preserve"> STYLE NO        :   VEST -2</t>
  </si>
  <si>
    <t xml:space="preserve"> STYLE NO        :   SANDY </t>
  </si>
  <si>
    <t>WHISKY</t>
  </si>
  <si>
    <t xml:space="preserve">SATIN TAP  </t>
  </si>
  <si>
    <t>INVISABLE ZIP</t>
  </si>
  <si>
    <t xml:space="preserve">GUN METAL HOOK </t>
  </si>
  <si>
    <t xml:space="preserve"> STYLE NO        :  ALMA + KNITS</t>
  </si>
  <si>
    <t>GOAT SUEDE 7/8  - DARK BROWN</t>
  </si>
  <si>
    <t>D. BROWN</t>
  </si>
  <si>
    <t xml:space="preserve">POLYSATER LINING </t>
  </si>
  <si>
    <t xml:space="preserve">NO :  8 TWO WAY  NICKEL ZIP  GUN METAL </t>
  </si>
  <si>
    <t xml:space="preserve">POLYSTER SATIIN LINING  sleeve </t>
  </si>
  <si>
    <t xml:space="preserve">20 GSM PADDING </t>
  </si>
  <si>
    <t xml:space="preserve"> N5-ANTIQUE BRASS FINISHING TWO WAY</t>
  </si>
  <si>
    <t xml:space="preserve"> N5-ANTIQUE BRASS FINISHING CLOSED END  SLEEVE</t>
  </si>
  <si>
    <t xml:space="preserve">ROPE ELASTIC </t>
  </si>
  <si>
    <t xml:space="preserve">ROPE ELASTIC STRING </t>
  </si>
  <si>
    <t xml:space="preserve">1.5 CM RING TYPE  SNAP BUTTONS </t>
  </si>
  <si>
    <t>ANTIC BRASS</t>
  </si>
  <si>
    <t>EYELETES 400 MM</t>
  </si>
  <si>
    <t xml:space="preserve">POLYSTER  SLEEVE </t>
  </si>
  <si>
    <t xml:space="preserve"> COTTONS  LINING  PIPING </t>
  </si>
  <si>
    <t>RIB PRINCE  APP</t>
  </si>
  <si>
    <t xml:space="preserve">WADDING  30 GAMS </t>
  </si>
  <si>
    <t xml:space="preserve">EASTIC BOTTOMS AND CUFF </t>
  </si>
  <si>
    <t xml:space="preserve">EASTIC THREADS </t>
  </si>
  <si>
    <t>SNAP BUTTONS ANTIC BRASS</t>
  </si>
  <si>
    <t>EYELETES - 400 MMS</t>
  </si>
  <si>
    <t xml:space="preserve">GRASS GRAIN TAP </t>
  </si>
  <si>
    <t>WADDING 40 GSM SLEEVE</t>
  </si>
  <si>
    <t xml:space="preserve">L/18 BUTTONS </t>
  </si>
  <si>
    <t xml:space="preserve">EYELETES  400 MM </t>
  </si>
  <si>
    <t>GOAT SUEDE 0.7/0.8 ---------80</t>
  </si>
  <si>
    <t xml:space="preserve">9 DARK BLUE </t>
  </si>
  <si>
    <t xml:space="preserve"> N8-NICKEL  FINISHING TWO WAY</t>
  </si>
  <si>
    <t xml:space="preserve"> N5-NICKEL  FINISHING TWO WAY</t>
  </si>
  <si>
    <t xml:space="preserve"> STYLE NO        :  DANTA WINTER MIX </t>
  </si>
  <si>
    <t>CUTTING AVG  130</t>
  </si>
  <si>
    <t xml:space="preserve">STITCHING CHARGES </t>
  </si>
  <si>
    <t>RIB MELANGE 2*2</t>
  </si>
  <si>
    <t>IMPORT CLEARING CHARGES 3 %</t>
  </si>
  <si>
    <t>CUTTING AVG  325</t>
  </si>
  <si>
    <t>CUTTING AVG - 342</t>
  </si>
  <si>
    <t>CUTTING AVG  355</t>
  </si>
  <si>
    <t xml:space="preserve"> STYLE NO        :  CARNABY </t>
  </si>
  <si>
    <t>PINE GREEN</t>
  </si>
  <si>
    <t>CUTTING AVG  410</t>
  </si>
  <si>
    <t xml:space="preserve"> STYLE NO        :  FRASCAP KNIT </t>
  </si>
  <si>
    <t>SAME AS FRANCIES   CONFIRMED PRICES 39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</si>
</sst>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Book Antiqua"/>
      <family val="1"/>
    </font>
    <font>
      <sz val="9"/>
      <color theme="1"/>
      <name val="Book Antiqua"/>
      <family val="1"/>
    </font>
    <font>
      <b/>
      <sz val="14"/>
      <color theme="1"/>
      <name val="Book Antiqua"/>
      <family val="1"/>
    </font>
    <font>
      <b/>
      <sz val="16"/>
      <color theme="1"/>
      <name val="Book Antiqua"/>
      <family val="1"/>
    </font>
    <font>
      <sz val="16"/>
      <color theme="1"/>
      <name val="Book Antiqua"/>
      <family val="1"/>
    </font>
    <font>
      <b/>
      <sz val="14"/>
      <color rgb="FFFF0000"/>
      <name val="Book Antiqua"/>
      <family val="1"/>
    </font>
    <font>
      <b/>
      <sz val="10"/>
      <color theme="1"/>
      <name val="Book Antiqua"/>
      <family val="1"/>
    </font>
    <font>
      <b/>
      <sz val="11"/>
      <color theme="1"/>
      <name val="Book Antiqua"/>
      <family val="1"/>
    </font>
    <font>
      <b/>
      <sz val="11"/>
      <color rgb="FF0070C0"/>
      <name val="Book Antiqua"/>
      <family val="1"/>
    </font>
    <font>
      <sz val="9"/>
      <color rgb="FFFF0000"/>
      <name val="Book Antiqua"/>
      <family val="1"/>
    </font>
    <font>
      <strike/>
      <sz val="9"/>
      <color theme="1"/>
      <name val="Book Antiqua"/>
      <family val="1"/>
    </font>
    <font>
      <sz val="9"/>
      <name val="Book Antiqua"/>
      <family val="1"/>
    </font>
    <font>
      <b/>
      <sz val="14"/>
      <color theme="0"/>
      <name val="Book Antiqua"/>
      <family val="1"/>
    </font>
    <font>
      <sz val="11"/>
      <color theme="1"/>
      <name val="Book Antiqua"/>
      <family val="1"/>
    </font>
    <font>
      <b/>
      <sz val="18"/>
      <color theme="0"/>
      <name val="Book Antiqua"/>
      <family val="1"/>
    </font>
    <font>
      <b/>
      <sz val="11"/>
      <color theme="8" tint="-0.249977111117893"/>
      <name val="Book Antiqua"/>
      <family val="1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Book Antiqua"/>
      <family val="1"/>
    </font>
    <font>
      <sz val="18"/>
      <color theme="0"/>
      <name val="Book Antiqua"/>
      <family val="1"/>
    </font>
    <font>
      <b/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7"/>
      <name val="Calibri"/>
      <family val="2"/>
      <scheme val="minor"/>
    </font>
    <font>
      <b/>
      <sz val="16"/>
      <color theme="0"/>
      <name val="Book Antiqua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shrinkToFit="1"/>
    </xf>
    <xf numFmtId="0" fontId="4" fillId="0" borderId="0" xfId="0" applyFont="1" applyAlignment="1">
      <alignment shrinkToFi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3" fillId="0" borderId="1" xfId="0" applyFont="1" applyBorder="1"/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9" fontId="3" fillId="0" borderId="3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vertic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0" fontId="3" fillId="0" borderId="3" xfId="0" applyFont="1" applyBorder="1"/>
    <xf numFmtId="2" fontId="3" fillId="0" borderId="3" xfId="0" applyNumberFormat="1" applyFont="1" applyBorder="1"/>
    <xf numFmtId="9" fontId="3" fillId="0" borderId="1" xfId="0" applyNumberFormat="1" applyFont="1" applyBorder="1"/>
    <xf numFmtId="2" fontId="3" fillId="0" borderId="2" xfId="0" applyNumberFormat="1" applyFont="1" applyBorder="1"/>
    <xf numFmtId="2" fontId="3" fillId="0" borderId="1" xfId="0" applyNumberFormat="1" applyFont="1" applyBorder="1"/>
    <xf numFmtId="0" fontId="3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2" fontId="3" fillId="0" borderId="3" xfId="0" applyNumberFormat="1" applyFont="1" applyBorder="1" applyAlignment="1">
      <alignment vertical="center"/>
    </xf>
    <xf numFmtId="9" fontId="3" fillId="0" borderId="1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2" fontId="8" fillId="0" borderId="3" xfId="0" applyNumberFormat="1" applyFont="1" applyBorder="1"/>
    <xf numFmtId="9" fontId="8" fillId="0" borderId="1" xfId="0" applyNumberFormat="1" applyFont="1" applyBorder="1"/>
    <xf numFmtId="2" fontId="8" fillId="0" borderId="2" xfId="0" applyNumberFormat="1" applyFont="1" applyBorder="1"/>
    <xf numFmtId="2" fontId="8" fillId="0" borderId="1" xfId="0" applyNumberFormat="1" applyFont="1" applyBorder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3" xfId="0" applyFont="1" applyBorder="1"/>
    <xf numFmtId="2" fontId="13" fillId="0" borderId="2" xfId="0" applyNumberFormat="1" applyFont="1" applyBorder="1"/>
    <xf numFmtId="2" fontId="13" fillId="0" borderId="1" xfId="0" applyNumberFormat="1" applyFont="1" applyBorder="1"/>
    <xf numFmtId="2" fontId="8" fillId="0" borderId="0" xfId="0" applyNumberFormat="1" applyFont="1"/>
    <xf numFmtId="0" fontId="8" fillId="0" borderId="0" xfId="0" applyFont="1"/>
    <xf numFmtId="2" fontId="3" fillId="0" borderId="0" xfId="0" applyNumberFormat="1" applyFont="1"/>
    <xf numFmtId="0" fontId="9" fillId="0" borderId="0" xfId="0" applyFont="1" applyAlignment="1">
      <alignment horizontal="center" wrapText="1"/>
    </xf>
    <xf numFmtId="0" fontId="14" fillId="3" borderId="1" xfId="0" applyFont="1" applyFill="1" applyBorder="1" applyAlignment="1">
      <alignment horizontal="center"/>
    </xf>
    <xf numFmtId="2" fontId="14" fillId="3" borderId="1" xfId="0" applyNumberFormat="1" applyFont="1" applyFill="1" applyBorder="1" applyAlignment="1">
      <alignment horizontal="center"/>
    </xf>
    <xf numFmtId="2" fontId="15" fillId="0" borderId="1" xfId="0" applyNumberFormat="1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2" fontId="9" fillId="4" borderId="1" xfId="0" applyNumberFormat="1" applyFont="1" applyFill="1" applyBorder="1" applyAlignment="1">
      <alignment horizontal="center"/>
    </xf>
    <xf numFmtId="2" fontId="9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17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2" fontId="9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8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16" fillId="2" borderId="0" xfId="0" applyFont="1" applyFill="1" applyAlignment="1">
      <alignment vertical="center" wrapText="1"/>
    </xf>
    <xf numFmtId="0" fontId="2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0" fillId="4" borderId="1" xfId="0" applyFill="1" applyBorder="1"/>
    <xf numFmtId="0" fontId="3" fillId="4" borderId="1" xfId="0" applyFont="1" applyFill="1" applyBorder="1" applyAlignment="1">
      <alignment wrapText="1"/>
    </xf>
    <xf numFmtId="0" fontId="2" fillId="0" borderId="0" xfId="0" applyFont="1" applyAlignment="1">
      <alignment shrinkToFit="1"/>
    </xf>
    <xf numFmtId="0" fontId="3" fillId="0" borderId="0" xfId="0" applyFont="1" applyAlignment="1">
      <alignment shrinkToFit="1"/>
    </xf>
    <xf numFmtId="0" fontId="4" fillId="0" borderId="0" xfId="0" applyFont="1" applyAlignment="1">
      <alignment horizont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9" fillId="5" borderId="0" xfId="0" applyFont="1" applyFill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5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9" fillId="4" borderId="1" xfId="0" applyFont="1" applyFill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16" fillId="5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E02A-A9D4-459E-ACF5-4952CE34156E}">
  <sheetPr>
    <pageSetUpPr fitToPage="1"/>
  </sheetPr>
  <dimension ref="A1:N14"/>
  <sheetViews>
    <sheetView workbookViewId="0">
      <selection sqref="A1:K15"/>
    </sheetView>
  </sheetViews>
  <sheetFormatPr defaultRowHeight="14.4" x14ac:dyDescent="0.3"/>
  <cols>
    <col min="1" max="1" width="5.77734375" bestFit="1" customWidth="1"/>
    <col min="2" max="2" width="10.33203125" bestFit="1" customWidth="1"/>
    <col min="3" max="3" width="13.77734375" customWidth="1"/>
    <col min="4" max="4" width="21.109375" customWidth="1"/>
    <col min="5" max="5" width="11.88671875" customWidth="1"/>
    <col min="6" max="6" width="13.6640625" customWidth="1"/>
    <col min="7" max="7" width="10.5546875" customWidth="1"/>
    <col min="8" max="8" width="10.6640625" customWidth="1"/>
    <col min="9" max="9" width="31" customWidth="1"/>
    <col min="10" max="10" width="10.77734375" customWidth="1"/>
    <col min="11" max="11" width="34.6640625" customWidth="1"/>
    <col min="12" max="12" width="10.77734375" customWidth="1"/>
    <col min="13" max="13" width="10.5546875" customWidth="1"/>
    <col min="14" max="14" width="11.33203125" customWidth="1"/>
  </cols>
  <sheetData>
    <row r="1" spans="1:14" ht="23.4" x14ac:dyDescent="0.45">
      <c r="A1" s="131" t="s">
        <v>187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4" ht="57.6" x14ac:dyDescent="0.3">
      <c r="A2" s="83" t="s">
        <v>122</v>
      </c>
      <c r="B2" s="83" t="s">
        <v>102</v>
      </c>
      <c r="C2" s="83" t="s">
        <v>93</v>
      </c>
      <c r="D2" s="84" t="s">
        <v>95</v>
      </c>
      <c r="E2" s="84" t="s">
        <v>94</v>
      </c>
      <c r="F2" s="84" t="s">
        <v>116</v>
      </c>
      <c r="G2" s="84" t="s">
        <v>97</v>
      </c>
      <c r="H2" s="84" t="s">
        <v>96</v>
      </c>
      <c r="I2" s="84" t="s">
        <v>126</v>
      </c>
      <c r="J2" s="85" t="s">
        <v>98</v>
      </c>
      <c r="K2" s="85" t="s">
        <v>111</v>
      </c>
      <c r="L2" s="86" t="s">
        <v>99</v>
      </c>
      <c r="M2" s="86" t="s">
        <v>101</v>
      </c>
      <c r="N2" s="86" t="s">
        <v>100</v>
      </c>
    </row>
    <row r="4" spans="1:14" ht="30" customHeight="1" x14ac:dyDescent="0.3">
      <c r="A4" s="88">
        <v>1</v>
      </c>
      <c r="B4" s="90">
        <v>45919</v>
      </c>
      <c r="C4" s="96" t="s">
        <v>103</v>
      </c>
      <c r="D4" s="91" t="s">
        <v>104</v>
      </c>
      <c r="E4" s="91" t="s">
        <v>105</v>
      </c>
      <c r="F4" s="90">
        <v>45919</v>
      </c>
      <c r="G4" s="90">
        <v>45929</v>
      </c>
      <c r="H4" s="95" t="s">
        <v>123</v>
      </c>
      <c r="I4" s="92" t="s">
        <v>124</v>
      </c>
      <c r="J4" s="90">
        <v>45940</v>
      </c>
      <c r="K4" s="91">
        <v>5596788890</v>
      </c>
      <c r="L4" s="88"/>
      <c r="M4" s="88"/>
      <c r="N4" s="88"/>
    </row>
    <row r="5" spans="1:14" ht="30" customHeight="1" x14ac:dyDescent="0.3">
      <c r="A5" s="88">
        <f>A4+1</f>
        <v>2</v>
      </c>
      <c r="B5" s="90">
        <v>45922</v>
      </c>
      <c r="C5" s="96" t="s">
        <v>106</v>
      </c>
      <c r="D5" s="91" t="s">
        <v>107</v>
      </c>
      <c r="E5" s="91" t="s">
        <v>108</v>
      </c>
      <c r="F5" s="90">
        <v>45922</v>
      </c>
      <c r="G5" s="90">
        <v>45923</v>
      </c>
      <c r="H5" s="95" t="s">
        <v>123</v>
      </c>
      <c r="I5" s="92" t="s">
        <v>124</v>
      </c>
      <c r="J5" s="90">
        <v>45940</v>
      </c>
      <c r="K5" s="91">
        <v>5596788890</v>
      </c>
      <c r="L5" s="88"/>
      <c r="M5" s="88"/>
      <c r="N5" s="88"/>
    </row>
    <row r="6" spans="1:14" ht="30" customHeight="1" x14ac:dyDescent="0.3">
      <c r="A6" s="88">
        <f t="shared" ref="A6:A11" si="0">A5+1</f>
        <v>3</v>
      </c>
      <c r="B6" s="90">
        <v>45923</v>
      </c>
      <c r="C6" s="96" t="s">
        <v>109</v>
      </c>
      <c r="D6" s="91" t="s">
        <v>110</v>
      </c>
      <c r="E6" s="91" t="s">
        <v>108</v>
      </c>
      <c r="F6" s="90">
        <v>45923</v>
      </c>
      <c r="G6" s="90">
        <v>45925</v>
      </c>
      <c r="H6" s="95" t="s">
        <v>123</v>
      </c>
      <c r="I6" s="92" t="s">
        <v>124</v>
      </c>
      <c r="J6" s="90">
        <v>45940</v>
      </c>
      <c r="K6" s="91">
        <v>5596788890</v>
      </c>
      <c r="L6" s="88"/>
      <c r="M6" s="88"/>
      <c r="N6" s="88"/>
    </row>
    <row r="7" spans="1:14" ht="103.2" customHeight="1" x14ac:dyDescent="0.3">
      <c r="A7" s="88">
        <f t="shared" si="0"/>
        <v>4</v>
      </c>
      <c r="B7" s="87">
        <v>45932</v>
      </c>
      <c r="C7" s="97" t="s">
        <v>112</v>
      </c>
      <c r="D7" s="88" t="s">
        <v>113</v>
      </c>
      <c r="E7" s="88" t="s">
        <v>105</v>
      </c>
      <c r="F7" s="87">
        <v>45932</v>
      </c>
      <c r="G7" s="87">
        <v>45940</v>
      </c>
      <c r="H7" s="88" t="s">
        <v>124</v>
      </c>
      <c r="I7" s="102" t="s">
        <v>127</v>
      </c>
      <c r="J7" s="87">
        <v>45948</v>
      </c>
      <c r="K7" s="88">
        <v>2607200153</v>
      </c>
      <c r="L7" s="88"/>
      <c r="M7" s="88"/>
      <c r="N7" s="88"/>
    </row>
    <row r="8" spans="1:14" ht="30.6" x14ac:dyDescent="0.3">
      <c r="A8" s="88">
        <f t="shared" si="0"/>
        <v>5</v>
      </c>
      <c r="B8" s="87">
        <v>45933</v>
      </c>
      <c r="C8" s="97" t="s">
        <v>114</v>
      </c>
      <c r="D8" s="88" t="s">
        <v>115</v>
      </c>
      <c r="E8" s="88" t="s">
        <v>108</v>
      </c>
      <c r="F8" s="87">
        <v>45933</v>
      </c>
      <c r="G8" s="87">
        <v>45940</v>
      </c>
      <c r="H8" s="88" t="s">
        <v>124</v>
      </c>
      <c r="I8" s="102" t="s">
        <v>133</v>
      </c>
      <c r="J8" s="87">
        <v>45955</v>
      </c>
      <c r="K8" s="88">
        <v>1255065840</v>
      </c>
      <c r="L8" s="88"/>
      <c r="M8" s="88"/>
      <c r="N8" s="88"/>
    </row>
    <row r="9" spans="1:14" ht="41.4" x14ac:dyDescent="0.3">
      <c r="A9" s="88">
        <f t="shared" si="0"/>
        <v>6</v>
      </c>
      <c r="B9" s="87">
        <v>45933</v>
      </c>
      <c r="C9" s="93" t="s">
        <v>117</v>
      </c>
      <c r="D9" s="88" t="s">
        <v>110</v>
      </c>
      <c r="E9" s="88" t="s">
        <v>108</v>
      </c>
      <c r="F9" s="87">
        <v>45933</v>
      </c>
      <c r="G9" s="88" t="s">
        <v>124</v>
      </c>
      <c r="H9" s="94" t="s">
        <v>125</v>
      </c>
      <c r="I9" s="102" t="s">
        <v>132</v>
      </c>
      <c r="J9" s="87">
        <v>45955</v>
      </c>
      <c r="K9" s="88">
        <v>1255065840</v>
      </c>
      <c r="L9" s="88"/>
      <c r="M9" s="88"/>
      <c r="N9" s="88"/>
    </row>
    <row r="10" spans="1:14" ht="41.4" x14ac:dyDescent="0.3">
      <c r="A10" s="88">
        <f t="shared" si="0"/>
        <v>7</v>
      </c>
      <c r="B10" s="87">
        <v>45933</v>
      </c>
      <c r="C10" s="93" t="s">
        <v>118</v>
      </c>
      <c r="D10" s="89" t="s">
        <v>119</v>
      </c>
      <c r="E10" s="88" t="s">
        <v>120</v>
      </c>
      <c r="F10" s="87">
        <v>45933</v>
      </c>
      <c r="G10" s="88" t="s">
        <v>124</v>
      </c>
      <c r="H10" s="94" t="s">
        <v>125</v>
      </c>
      <c r="I10" s="102" t="s">
        <v>134</v>
      </c>
      <c r="J10" s="87">
        <v>45955</v>
      </c>
      <c r="K10" s="88">
        <v>1255065840</v>
      </c>
      <c r="L10" s="88"/>
      <c r="M10" s="88"/>
      <c r="N10" s="88"/>
    </row>
    <row r="11" spans="1:14" ht="36" customHeight="1" x14ac:dyDescent="0.3">
      <c r="A11" s="88">
        <f t="shared" si="0"/>
        <v>8</v>
      </c>
      <c r="B11" s="87">
        <v>45938</v>
      </c>
      <c r="C11" s="97" t="s">
        <v>121</v>
      </c>
      <c r="D11" s="88" t="s">
        <v>110</v>
      </c>
      <c r="E11" s="88" t="s">
        <v>108</v>
      </c>
      <c r="F11" s="87">
        <v>45938</v>
      </c>
      <c r="G11" s="98">
        <v>45944</v>
      </c>
      <c r="H11" s="88"/>
      <c r="I11" s="103" t="s">
        <v>135</v>
      </c>
      <c r="J11" s="87">
        <v>45955</v>
      </c>
      <c r="K11" s="88">
        <v>1255065840</v>
      </c>
      <c r="L11" s="88"/>
      <c r="M11" s="88"/>
      <c r="N11" s="88"/>
    </row>
    <row r="12" spans="1:14" ht="178.2" customHeight="1" x14ac:dyDescent="0.3">
      <c r="A12" s="88">
        <v>9</v>
      </c>
      <c r="B12" s="87">
        <v>45951</v>
      </c>
      <c r="C12" s="93" t="s">
        <v>136</v>
      </c>
      <c r="D12" s="88" t="s">
        <v>137</v>
      </c>
      <c r="E12" s="88" t="s">
        <v>108</v>
      </c>
      <c r="F12" s="87">
        <v>45951</v>
      </c>
      <c r="G12" s="98" t="s">
        <v>124</v>
      </c>
      <c r="H12" s="94" t="s">
        <v>125</v>
      </c>
      <c r="I12" s="105" t="s">
        <v>138</v>
      </c>
      <c r="J12" s="87"/>
      <c r="K12" s="106" t="s">
        <v>188</v>
      </c>
      <c r="L12" s="88"/>
      <c r="M12" s="88"/>
      <c r="N12" s="88"/>
    </row>
    <row r="13" spans="1:14" ht="145.19999999999999" customHeight="1" x14ac:dyDescent="0.3">
      <c r="A13" s="88">
        <v>10</v>
      </c>
      <c r="B13" s="87">
        <v>45957</v>
      </c>
      <c r="C13" s="97" t="s">
        <v>183</v>
      </c>
      <c r="D13" s="88" t="s">
        <v>115</v>
      </c>
      <c r="E13" s="88" t="s">
        <v>184</v>
      </c>
      <c r="F13" s="87">
        <v>45957</v>
      </c>
      <c r="G13" s="107" t="s">
        <v>189</v>
      </c>
      <c r="H13" s="88"/>
      <c r="I13" s="104" t="s">
        <v>186</v>
      </c>
      <c r="J13" s="87"/>
      <c r="K13" s="88"/>
      <c r="L13" s="88"/>
      <c r="M13" s="88"/>
      <c r="N13" s="88"/>
    </row>
    <row r="14" spans="1:14" ht="28.8" x14ac:dyDescent="0.3">
      <c r="A14" s="101">
        <v>11</v>
      </c>
      <c r="B14" s="87">
        <v>45957</v>
      </c>
      <c r="C14" s="93" t="s">
        <v>185</v>
      </c>
      <c r="D14" s="88" t="s">
        <v>110</v>
      </c>
      <c r="E14" s="88" t="s">
        <v>184</v>
      </c>
      <c r="F14" s="87">
        <v>45957</v>
      </c>
      <c r="G14" s="107" t="s">
        <v>189</v>
      </c>
      <c r="H14" s="101"/>
      <c r="I14" s="101"/>
      <c r="J14" s="101"/>
      <c r="K14" s="101"/>
      <c r="L14" s="101"/>
      <c r="M14" s="101"/>
      <c r="N14" s="101"/>
    </row>
  </sheetData>
  <mergeCells count="1">
    <mergeCell ref="A1:K1"/>
  </mergeCells>
  <pageMargins left="0.11811023622047245" right="0.11811023622047245" top="0.15748031496062992" bottom="0.15748031496062992" header="0.31496062992125984" footer="0.31496062992125984"/>
  <pageSetup paperSize="9" scale="71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6948-0B39-4F87-BDD9-5E8781A1CFB8}">
  <dimension ref="A1"/>
  <sheetViews>
    <sheetView topLeftCell="A33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B1692-5085-4A6A-8EC1-C947514FA389}">
  <dimension ref="A1:O81"/>
  <sheetViews>
    <sheetView topLeftCell="A26" workbookViewId="0">
      <selection activeCell="B57" sqref="B57"/>
    </sheetView>
  </sheetViews>
  <sheetFormatPr defaultRowHeight="14.4" x14ac:dyDescent="0.3"/>
  <cols>
    <col min="1" max="1" width="9.6640625" bestFit="1" customWidth="1"/>
    <col min="2" max="2" width="41.21875" bestFit="1" customWidth="1"/>
    <col min="3" max="3" width="15" bestFit="1" customWidth="1"/>
    <col min="4" max="4" width="10.33203125" bestFit="1" customWidth="1"/>
    <col min="5" max="5" width="7.5546875" bestFit="1" customWidth="1"/>
    <col min="6" max="6" width="8.5546875" bestFit="1" customWidth="1"/>
    <col min="7" max="7" width="9.109375" style="43" bestFit="1" customWidth="1"/>
    <col min="8" max="8" width="8" bestFit="1" customWidth="1"/>
    <col min="9" max="9" width="10.44140625" bestFit="1" customWidth="1"/>
    <col min="10" max="10" width="5.44140625" bestFit="1" customWidth="1"/>
    <col min="11" max="11" width="9.44140625" bestFit="1" customWidth="1"/>
    <col min="12" max="12" width="10.44140625" bestFit="1" customWidth="1"/>
    <col min="13" max="13" width="5" bestFit="1" customWidth="1"/>
    <col min="14" max="14" width="7" bestFit="1" customWidth="1"/>
  </cols>
  <sheetData>
    <row r="1" spans="1:12" x14ac:dyDescent="0.3">
      <c r="A1" s="114" t="s">
        <v>0</v>
      </c>
      <c r="B1" s="115"/>
      <c r="C1" s="115"/>
      <c r="D1" s="115"/>
      <c r="E1" s="115"/>
      <c r="F1" s="115"/>
      <c r="G1" s="1"/>
      <c r="H1" s="2"/>
      <c r="I1" s="2"/>
      <c r="J1" s="2"/>
      <c r="K1" s="2"/>
      <c r="L1" s="2"/>
    </row>
    <row r="2" spans="1:12" x14ac:dyDescent="0.3">
      <c r="A2" s="114" t="s">
        <v>1</v>
      </c>
      <c r="B2" s="115"/>
      <c r="C2" s="115"/>
      <c r="D2" s="115"/>
      <c r="E2" s="115"/>
      <c r="F2" s="115"/>
      <c r="G2" s="1"/>
      <c r="H2" s="2"/>
      <c r="I2" s="2"/>
      <c r="J2" s="2"/>
      <c r="K2" s="2"/>
      <c r="L2" s="2"/>
    </row>
    <row r="3" spans="1:12" ht="18" x14ac:dyDescent="0.35">
      <c r="A3" s="116" t="s">
        <v>128</v>
      </c>
      <c r="B3" s="116"/>
      <c r="C3" s="116"/>
      <c r="D3" s="116"/>
      <c r="E3" s="116"/>
      <c r="F3" s="116"/>
      <c r="G3" s="3"/>
      <c r="H3" s="4"/>
      <c r="I3" s="4"/>
      <c r="J3" s="4"/>
      <c r="K3" s="4"/>
      <c r="L3" s="4"/>
    </row>
    <row r="4" spans="1:12" x14ac:dyDescent="0.3">
      <c r="G4" s="1"/>
      <c r="H4" s="2"/>
      <c r="I4" s="2"/>
      <c r="J4" s="2"/>
      <c r="K4" s="2"/>
      <c r="L4" s="2"/>
    </row>
    <row r="5" spans="1:12" ht="21" x14ac:dyDescent="0.4">
      <c r="A5" s="128" t="s">
        <v>2</v>
      </c>
      <c r="B5" s="129"/>
      <c r="C5" s="129"/>
      <c r="D5" s="129"/>
      <c r="E5" s="129"/>
      <c r="F5" s="129"/>
      <c r="G5" s="1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1"/>
      <c r="H6" s="2"/>
      <c r="I6" s="2"/>
      <c r="J6" s="2"/>
      <c r="K6" s="2"/>
      <c r="L6" s="2"/>
    </row>
    <row r="7" spans="1:12" ht="24" x14ac:dyDescent="0.3">
      <c r="A7" s="5" t="s">
        <v>3</v>
      </c>
      <c r="B7" s="6" t="s">
        <v>4</v>
      </c>
      <c r="C7" s="7" t="s">
        <v>5</v>
      </c>
      <c r="D7" s="7" t="s">
        <v>6</v>
      </c>
      <c r="E7" s="7" t="s">
        <v>7</v>
      </c>
      <c r="F7" s="6" t="s">
        <v>8</v>
      </c>
      <c r="G7" s="7" t="s">
        <v>9</v>
      </c>
      <c r="H7" s="8" t="s">
        <v>10</v>
      </c>
      <c r="I7" s="7" t="s">
        <v>11</v>
      </c>
      <c r="J7" s="117" t="s">
        <v>12</v>
      </c>
      <c r="K7" s="118"/>
      <c r="L7" s="119" t="s">
        <v>13</v>
      </c>
    </row>
    <row r="8" spans="1:12" x14ac:dyDescent="0.3">
      <c r="A8" s="9" t="s">
        <v>14</v>
      </c>
      <c r="B8" s="9"/>
      <c r="C8" s="10"/>
      <c r="D8" s="10"/>
      <c r="E8" s="10"/>
      <c r="F8" s="9"/>
      <c r="G8" s="10"/>
      <c r="H8" s="10"/>
      <c r="I8" s="10"/>
      <c r="J8" s="10" t="s">
        <v>15</v>
      </c>
      <c r="K8" s="11" t="s">
        <v>11</v>
      </c>
      <c r="L8" s="119"/>
    </row>
    <row r="9" spans="1:12" x14ac:dyDescent="0.3">
      <c r="A9" s="12"/>
      <c r="B9" s="13" t="s">
        <v>16</v>
      </c>
      <c r="C9" s="20" t="s">
        <v>130</v>
      </c>
      <c r="D9" s="14" t="s">
        <v>17</v>
      </c>
      <c r="E9" s="15">
        <v>150</v>
      </c>
      <c r="F9" s="15">
        <v>150</v>
      </c>
      <c r="G9" s="14">
        <v>9.5</v>
      </c>
      <c r="H9" s="16">
        <f>F9*G9</f>
        <v>1425</v>
      </c>
      <c r="I9" s="17">
        <f>F9*G9</f>
        <v>1425</v>
      </c>
      <c r="J9" s="18">
        <v>0.12</v>
      </c>
      <c r="K9" s="19">
        <f>I9*J9</f>
        <v>171</v>
      </c>
      <c r="L9" s="15">
        <f>I9+K9</f>
        <v>1596</v>
      </c>
    </row>
    <row r="10" spans="1:12" x14ac:dyDescent="0.3">
      <c r="A10" s="12"/>
      <c r="B10" s="13"/>
      <c r="C10" s="20"/>
      <c r="D10" s="14"/>
      <c r="E10" s="15"/>
      <c r="F10" s="15"/>
      <c r="G10" s="14"/>
      <c r="H10" s="16"/>
      <c r="I10" s="17"/>
      <c r="J10" s="18"/>
      <c r="K10" s="19"/>
      <c r="L10" s="15"/>
    </row>
    <row r="11" spans="1:12" ht="18" x14ac:dyDescent="0.3">
      <c r="A11" s="21"/>
      <c r="B11" s="13" t="s">
        <v>129</v>
      </c>
      <c r="C11" s="22"/>
      <c r="D11" s="22"/>
      <c r="E11" s="23"/>
      <c r="F11" s="24">
        <v>1</v>
      </c>
      <c r="G11" s="23"/>
      <c r="H11" s="25">
        <f>SUM(H9:H9)</f>
        <v>1425</v>
      </c>
      <c r="I11" s="26">
        <f>SUM(I9:I9)</f>
        <v>1425</v>
      </c>
      <c r="J11" s="27"/>
      <c r="K11" s="28">
        <f>SUM(K9:K9)</f>
        <v>171</v>
      </c>
      <c r="L11" s="29">
        <f>SUM(L9:L9)</f>
        <v>1596</v>
      </c>
    </row>
    <row r="12" spans="1:12" x14ac:dyDescent="0.3">
      <c r="A12" s="21"/>
      <c r="B12" s="21"/>
      <c r="C12" s="23"/>
      <c r="D12" s="30"/>
      <c r="E12" s="31"/>
      <c r="F12" s="32"/>
      <c r="G12" s="23"/>
      <c r="H12" s="25"/>
      <c r="I12" s="26"/>
      <c r="J12" s="27"/>
      <c r="K12" s="28"/>
      <c r="L12" s="29"/>
    </row>
    <row r="13" spans="1:12" x14ac:dyDescent="0.3">
      <c r="A13" s="12"/>
      <c r="B13" s="12"/>
      <c r="C13" s="14"/>
      <c r="D13" s="120" t="s">
        <v>19</v>
      </c>
      <c r="E13" s="121"/>
      <c r="F13" s="35" t="s">
        <v>20</v>
      </c>
      <c r="G13" s="36">
        <f>I11/F11</f>
        <v>1425</v>
      </c>
      <c r="H13" s="37"/>
      <c r="I13" s="38"/>
      <c r="J13" s="39"/>
      <c r="K13" s="40"/>
      <c r="L13" s="41"/>
    </row>
    <row r="14" spans="1:12" x14ac:dyDescent="0.3">
      <c r="A14" s="12"/>
      <c r="B14" s="12"/>
      <c r="C14" s="14"/>
      <c r="D14" s="120" t="s">
        <v>21</v>
      </c>
      <c r="E14" s="121"/>
      <c r="F14" s="35" t="s">
        <v>20</v>
      </c>
      <c r="G14" s="36">
        <f>L11/F11</f>
        <v>1596</v>
      </c>
      <c r="H14" s="37"/>
      <c r="I14" s="38"/>
      <c r="J14" s="39"/>
      <c r="K14" s="40"/>
      <c r="L14" s="41"/>
    </row>
    <row r="15" spans="1:12" x14ac:dyDescent="0.3">
      <c r="A15" s="12"/>
      <c r="B15" s="12"/>
      <c r="C15" s="14"/>
      <c r="D15" s="33"/>
      <c r="E15" s="34"/>
      <c r="F15" s="35"/>
      <c r="G15" s="36"/>
      <c r="H15" s="37"/>
      <c r="I15" s="38"/>
      <c r="J15" s="39"/>
      <c r="K15" s="40"/>
      <c r="L15" s="41"/>
    </row>
    <row r="16" spans="1:12" x14ac:dyDescent="0.3">
      <c r="A16" s="9" t="s">
        <v>22</v>
      </c>
      <c r="B16" s="42" t="s">
        <v>220</v>
      </c>
      <c r="C16" s="14" t="str">
        <f>C9</f>
        <v xml:space="preserve">BLUE </v>
      </c>
      <c r="D16" s="14" t="s">
        <v>24</v>
      </c>
      <c r="E16" s="14">
        <v>1</v>
      </c>
      <c r="F16" s="41">
        <f>E16*F11</f>
        <v>1</v>
      </c>
      <c r="G16" s="14">
        <v>55</v>
      </c>
      <c r="H16" s="37">
        <f>E16*G16</f>
        <v>55</v>
      </c>
      <c r="I16" s="38">
        <f>F16*G16</f>
        <v>55</v>
      </c>
      <c r="J16" s="39">
        <v>0.12</v>
      </c>
      <c r="K16" s="40">
        <f>I16*J16</f>
        <v>6.6</v>
      </c>
      <c r="L16" s="41">
        <f>I16+K16</f>
        <v>61.6</v>
      </c>
    </row>
    <row r="17" spans="1:15" x14ac:dyDescent="0.3">
      <c r="A17" s="9"/>
      <c r="B17" s="42" t="s">
        <v>221</v>
      </c>
      <c r="C17" s="14">
        <f>C10</f>
        <v>0</v>
      </c>
      <c r="D17" s="14" t="s">
        <v>24</v>
      </c>
      <c r="E17" s="14">
        <v>0.5</v>
      </c>
      <c r="F17" s="41">
        <f>E17*F12</f>
        <v>0</v>
      </c>
      <c r="G17" s="14">
        <v>101</v>
      </c>
      <c r="H17" s="37">
        <f>E17*G17</f>
        <v>50.5</v>
      </c>
      <c r="I17" s="38">
        <f>F17*G17</f>
        <v>0</v>
      </c>
      <c r="J17" s="39">
        <v>0.12</v>
      </c>
      <c r="K17" s="40">
        <f>I17*J17</f>
        <v>0</v>
      </c>
      <c r="L17" s="41">
        <f>I17+K17</f>
        <v>0</v>
      </c>
    </row>
    <row r="18" spans="1:15" x14ac:dyDescent="0.3">
      <c r="A18" s="9"/>
      <c r="B18" s="42"/>
      <c r="C18" s="14"/>
      <c r="D18" s="14"/>
      <c r="E18" s="14"/>
      <c r="F18" s="41"/>
      <c r="G18" s="14"/>
      <c r="H18" s="37"/>
      <c r="I18" s="38"/>
      <c r="J18" s="39"/>
      <c r="K18" s="40"/>
      <c r="L18" s="41"/>
    </row>
    <row r="19" spans="1:15" x14ac:dyDescent="0.3">
      <c r="A19" s="9"/>
      <c r="B19" s="42"/>
      <c r="C19" s="14"/>
      <c r="D19" s="14"/>
      <c r="E19" s="14"/>
      <c r="F19" s="41"/>
      <c r="G19" s="14"/>
      <c r="H19" s="37"/>
      <c r="I19" s="38"/>
      <c r="J19" s="39"/>
      <c r="K19" s="40"/>
      <c r="L19" s="41"/>
    </row>
    <row r="20" spans="1:15" x14ac:dyDescent="0.3">
      <c r="A20" s="9" t="s">
        <v>26</v>
      </c>
      <c r="B20" s="12" t="s">
        <v>27</v>
      </c>
      <c r="C20" s="14" t="str">
        <f>C9</f>
        <v xml:space="preserve">BLUE </v>
      </c>
      <c r="D20" s="14" t="s">
        <v>28</v>
      </c>
      <c r="E20" s="14">
        <v>100</v>
      </c>
      <c r="F20" s="41">
        <f>E20*F11</f>
        <v>100</v>
      </c>
      <c r="G20" s="14">
        <v>125</v>
      </c>
      <c r="H20" s="37">
        <f>F20/1000*G20/F11</f>
        <v>12.5</v>
      </c>
      <c r="I20" s="38">
        <f>F20/1000*G20</f>
        <v>12.5</v>
      </c>
      <c r="J20" s="39">
        <v>0.12</v>
      </c>
      <c r="K20" s="40">
        <f>I20*J20</f>
        <v>1.5</v>
      </c>
      <c r="L20" s="41">
        <f>I20+K20</f>
        <v>14</v>
      </c>
    </row>
    <row r="21" spans="1:15" x14ac:dyDescent="0.3">
      <c r="A21" s="9"/>
      <c r="B21" s="12" t="s">
        <v>29</v>
      </c>
      <c r="C21" s="14" t="str">
        <f>C9</f>
        <v xml:space="preserve">BLUE </v>
      </c>
      <c r="D21" s="14" t="s">
        <v>28</v>
      </c>
      <c r="E21" s="14">
        <v>100</v>
      </c>
      <c r="F21" s="41">
        <f>E21*F11</f>
        <v>100</v>
      </c>
      <c r="G21" s="14">
        <v>257</v>
      </c>
      <c r="H21" s="37">
        <f>F21/5000*G21/F11</f>
        <v>5.14</v>
      </c>
      <c r="I21" s="38">
        <f>H21*F11</f>
        <v>5.14</v>
      </c>
      <c r="J21" s="39">
        <v>0.12</v>
      </c>
      <c r="K21" s="40">
        <f>I21*J21</f>
        <v>0.6167999999999999</v>
      </c>
      <c r="L21" s="41">
        <f>I21+K21</f>
        <v>5.7567999999999993</v>
      </c>
    </row>
    <row r="22" spans="1:15" x14ac:dyDescent="0.3">
      <c r="A22" s="9"/>
      <c r="B22" s="12" t="s">
        <v>30</v>
      </c>
      <c r="C22" s="14" t="str">
        <f>C9</f>
        <v xml:space="preserve">BLUE </v>
      </c>
      <c r="D22" s="14" t="s">
        <v>28</v>
      </c>
      <c r="E22" s="14">
        <v>50</v>
      </c>
      <c r="F22" s="41">
        <f>E22*F11</f>
        <v>50</v>
      </c>
      <c r="G22" s="14">
        <v>162</v>
      </c>
      <c r="H22" s="37">
        <f>F22/1000*G22/F11</f>
        <v>8.1</v>
      </c>
      <c r="I22" s="38">
        <f>F22/1000*G22</f>
        <v>8.1</v>
      </c>
      <c r="J22" s="39">
        <v>0.12</v>
      </c>
      <c r="K22" s="40">
        <f>I22*J22</f>
        <v>0.97199999999999998</v>
      </c>
      <c r="L22" s="41">
        <f>I22+K22</f>
        <v>9.0719999999999992</v>
      </c>
    </row>
    <row r="23" spans="1:15" x14ac:dyDescent="0.3">
      <c r="A23" s="9"/>
      <c r="B23" s="12"/>
      <c r="C23" s="14"/>
      <c r="D23" s="14"/>
      <c r="E23" s="14"/>
      <c r="F23" s="41"/>
      <c r="G23" s="14"/>
      <c r="H23" s="37"/>
      <c r="I23" s="38"/>
      <c r="J23" s="39"/>
      <c r="K23" s="40"/>
      <c r="L23" s="41"/>
    </row>
    <row r="24" spans="1:15" x14ac:dyDescent="0.3">
      <c r="A24" s="9" t="s">
        <v>31</v>
      </c>
      <c r="B24" s="12" t="s">
        <v>32</v>
      </c>
      <c r="C24" s="14" t="s">
        <v>33</v>
      </c>
      <c r="D24" s="14" t="s">
        <v>34</v>
      </c>
      <c r="E24" s="14">
        <v>1.5</v>
      </c>
      <c r="F24" s="41">
        <f>E24*F11</f>
        <v>1.5</v>
      </c>
      <c r="G24" s="14">
        <v>32</v>
      </c>
      <c r="H24" s="37">
        <f>E24*G24</f>
        <v>48</v>
      </c>
      <c r="I24" s="38">
        <f>F24*G24</f>
        <v>48</v>
      </c>
      <c r="J24" s="39">
        <v>0.18</v>
      </c>
      <c r="K24" s="40">
        <f>I24*J24</f>
        <v>8.64</v>
      </c>
      <c r="L24" s="41">
        <f>I24+K24</f>
        <v>56.64</v>
      </c>
    </row>
    <row r="25" spans="1:15" x14ac:dyDescent="0.3">
      <c r="A25" s="9"/>
      <c r="B25" s="12" t="s">
        <v>35</v>
      </c>
      <c r="C25" s="14" t="s">
        <v>36</v>
      </c>
      <c r="D25" s="14" t="s">
        <v>37</v>
      </c>
      <c r="E25" s="14">
        <v>0.15</v>
      </c>
      <c r="F25" s="41">
        <f>E25*F11</f>
        <v>0.15</v>
      </c>
      <c r="G25" s="14">
        <v>88</v>
      </c>
      <c r="H25" s="37">
        <f>E25*G25</f>
        <v>13.2</v>
      </c>
      <c r="I25" s="38">
        <f>F25*G25</f>
        <v>13.2</v>
      </c>
      <c r="J25" s="39">
        <v>0.18</v>
      </c>
      <c r="K25" s="40">
        <f>I25*J25</f>
        <v>2.3759999999999999</v>
      </c>
      <c r="L25" s="41">
        <f>I25+K25</f>
        <v>15.575999999999999</v>
      </c>
    </row>
    <row r="26" spans="1:15" x14ac:dyDescent="0.3">
      <c r="A26" s="9"/>
      <c r="B26" s="12" t="s">
        <v>38</v>
      </c>
      <c r="C26" s="14" t="s">
        <v>39</v>
      </c>
      <c r="D26" s="14" t="s">
        <v>34</v>
      </c>
      <c r="E26" s="14">
        <v>3.75</v>
      </c>
      <c r="F26" s="41">
        <f>E26*F11</f>
        <v>3.75</v>
      </c>
      <c r="G26" s="14">
        <v>0.6875</v>
      </c>
      <c r="H26" s="37">
        <f>E26*G26</f>
        <v>2.578125</v>
      </c>
      <c r="I26" s="38">
        <f>F26*G26</f>
        <v>2.578125</v>
      </c>
      <c r="J26" s="39">
        <v>0.18</v>
      </c>
      <c r="K26" s="40">
        <f>I26*J26</f>
        <v>0.46406249999999999</v>
      </c>
      <c r="L26" s="41">
        <f>I26+K26</f>
        <v>3.0421874999999998</v>
      </c>
    </row>
    <row r="27" spans="1:15" x14ac:dyDescent="0.3">
      <c r="A27" s="9"/>
      <c r="B27" s="12"/>
      <c r="C27" s="14"/>
      <c r="D27" s="14"/>
      <c r="E27" s="14"/>
      <c r="F27" s="41"/>
      <c r="G27" s="14"/>
      <c r="H27" s="37"/>
      <c r="I27" s="38"/>
      <c r="J27" s="39"/>
      <c r="K27" s="40"/>
      <c r="L27" s="41"/>
    </row>
    <row r="28" spans="1:15" x14ac:dyDescent="0.3">
      <c r="A28" s="9"/>
      <c r="B28" s="12"/>
      <c r="C28" s="14"/>
      <c r="D28" s="14"/>
      <c r="E28" s="14"/>
      <c r="F28" s="41"/>
      <c r="G28" s="14"/>
      <c r="H28" s="12"/>
      <c r="I28" s="41"/>
      <c r="J28" s="39"/>
      <c r="K28" s="41"/>
      <c r="L28" s="41"/>
      <c r="M28" t="s">
        <v>40</v>
      </c>
    </row>
    <row r="29" spans="1:15" x14ac:dyDescent="0.3">
      <c r="A29" s="12" t="s">
        <v>41</v>
      </c>
      <c r="B29" s="22" t="s">
        <v>131</v>
      </c>
      <c r="C29" s="14" t="s">
        <v>36</v>
      </c>
      <c r="D29" s="14" t="s">
        <v>43</v>
      </c>
      <c r="E29" s="14">
        <v>1</v>
      </c>
      <c r="F29" s="12">
        <f>E29*F11</f>
        <v>1</v>
      </c>
      <c r="G29" s="14">
        <v>150</v>
      </c>
      <c r="H29" s="12">
        <f t="shared" ref="H29" si="0">E29*G29</f>
        <v>150</v>
      </c>
      <c r="I29" s="38">
        <f t="shared" ref="I29" si="1">F29*G29</f>
        <v>150</v>
      </c>
      <c r="J29" s="39">
        <v>0.12</v>
      </c>
      <c r="K29" s="40">
        <f t="shared" ref="K29" si="2">I29*J29</f>
        <v>18</v>
      </c>
      <c r="L29" s="41">
        <f t="shared" ref="L29" si="3">I29+K29</f>
        <v>168</v>
      </c>
      <c r="M29">
        <v>1.69</v>
      </c>
      <c r="N29">
        <f>M29*85</f>
        <v>143.65</v>
      </c>
    </row>
    <row r="30" spans="1:15" x14ac:dyDescent="0.3">
      <c r="A30" s="12"/>
      <c r="B30" s="22" t="s">
        <v>222</v>
      </c>
      <c r="C30" s="14" t="s">
        <v>36</v>
      </c>
      <c r="D30" s="14" t="s">
        <v>43</v>
      </c>
      <c r="E30" s="14">
        <v>1</v>
      </c>
      <c r="F30" s="12">
        <v>1</v>
      </c>
      <c r="G30" s="14">
        <v>250</v>
      </c>
      <c r="H30" s="12">
        <f t="shared" ref="H30" si="4">E30*G30</f>
        <v>250</v>
      </c>
      <c r="I30" s="38">
        <f t="shared" ref="I30" si="5">F30*G30</f>
        <v>250</v>
      </c>
      <c r="J30" s="39">
        <v>0.12</v>
      </c>
      <c r="K30" s="40">
        <f t="shared" ref="K30" si="6">I30*J30</f>
        <v>30</v>
      </c>
      <c r="L30" s="41">
        <f t="shared" ref="L30" si="7">I30+K30</f>
        <v>280</v>
      </c>
      <c r="O30" s="43"/>
    </row>
    <row r="31" spans="1:15" x14ac:dyDescent="0.3">
      <c r="A31" s="12"/>
      <c r="B31" s="22"/>
      <c r="C31" s="14"/>
      <c r="D31" s="14"/>
      <c r="E31" s="14"/>
      <c r="F31" s="12"/>
      <c r="G31" s="14"/>
      <c r="H31" s="12"/>
      <c r="I31" s="38"/>
      <c r="J31" s="39"/>
      <c r="K31" s="40"/>
      <c r="L31" s="41"/>
      <c r="M31" s="43"/>
    </row>
    <row r="32" spans="1:15" x14ac:dyDescent="0.3">
      <c r="A32" s="12" t="s">
        <v>47</v>
      </c>
      <c r="B32" s="12" t="s">
        <v>48</v>
      </c>
      <c r="C32" s="14" t="s">
        <v>36</v>
      </c>
      <c r="D32" s="14" t="s">
        <v>43</v>
      </c>
      <c r="E32" s="14">
        <v>1</v>
      </c>
      <c r="F32" s="41">
        <f>E32*F11</f>
        <v>1</v>
      </c>
      <c r="G32" s="14">
        <v>12</v>
      </c>
      <c r="H32" s="37">
        <f>E32*G32</f>
        <v>12</v>
      </c>
      <c r="I32" s="38">
        <f>F32*G32</f>
        <v>12</v>
      </c>
      <c r="J32" s="39">
        <v>0.12</v>
      </c>
      <c r="K32" s="40">
        <f>I32*J32</f>
        <v>1.44</v>
      </c>
      <c r="L32" s="41">
        <f>I32+K32</f>
        <v>13.44</v>
      </c>
    </row>
    <row r="33" spans="1:12" x14ac:dyDescent="0.3">
      <c r="A33" s="12"/>
      <c r="B33" s="12" t="s">
        <v>49</v>
      </c>
      <c r="C33" s="14" t="s">
        <v>36</v>
      </c>
      <c r="D33" s="14" t="s">
        <v>43</v>
      </c>
      <c r="E33" s="14">
        <v>1</v>
      </c>
      <c r="F33" s="41">
        <f>E33*F11</f>
        <v>1</v>
      </c>
      <c r="G33" s="14">
        <v>3.5</v>
      </c>
      <c r="H33" s="37">
        <f>E33*G33</f>
        <v>3.5</v>
      </c>
      <c r="I33" s="38">
        <f>F33*G33</f>
        <v>3.5</v>
      </c>
      <c r="J33" s="39">
        <v>0.12</v>
      </c>
      <c r="K33" s="40">
        <f>I33*J33</f>
        <v>0.42</v>
      </c>
      <c r="L33" s="41">
        <f>I33+K33</f>
        <v>3.92</v>
      </c>
    </row>
    <row r="34" spans="1:12" x14ac:dyDescent="0.3">
      <c r="A34" s="9"/>
      <c r="B34" s="12" t="s">
        <v>50</v>
      </c>
      <c r="C34" s="14" t="s">
        <v>36</v>
      </c>
      <c r="D34" s="14" t="s">
        <v>43</v>
      </c>
      <c r="E34" s="14">
        <v>1</v>
      </c>
      <c r="F34" s="41">
        <f>E34*F11</f>
        <v>1</v>
      </c>
      <c r="G34" s="14">
        <v>4</v>
      </c>
      <c r="H34" s="37">
        <v>4</v>
      </c>
      <c r="I34" s="38">
        <f>F34*G34</f>
        <v>4</v>
      </c>
      <c r="J34" s="39">
        <v>0.12</v>
      </c>
      <c r="K34" s="40">
        <f>I34*J34</f>
        <v>0.48</v>
      </c>
      <c r="L34" s="41">
        <f>I34+K34</f>
        <v>4.4800000000000004</v>
      </c>
    </row>
    <row r="35" spans="1:12" x14ac:dyDescent="0.3">
      <c r="A35" s="9"/>
      <c r="B35" s="12"/>
      <c r="C35" s="14"/>
      <c r="D35" s="14"/>
      <c r="E35" s="14"/>
      <c r="F35" s="41"/>
      <c r="G35" s="14"/>
      <c r="H35" s="12"/>
      <c r="I35" s="41"/>
      <c r="J35" s="39"/>
      <c r="K35" s="41"/>
      <c r="L35" s="41"/>
    </row>
    <row r="36" spans="1:12" ht="39.6" x14ac:dyDescent="0.3">
      <c r="A36" s="44" t="s">
        <v>51</v>
      </c>
      <c r="B36" s="21" t="s">
        <v>52</v>
      </c>
      <c r="C36" s="23" t="s">
        <v>36</v>
      </c>
      <c r="D36" s="23" t="s">
        <v>43</v>
      </c>
      <c r="E36" s="23">
        <v>1</v>
      </c>
      <c r="F36" s="45">
        <f>F11*E36</f>
        <v>1</v>
      </c>
      <c r="G36" s="23">
        <v>12</v>
      </c>
      <c r="H36" s="46">
        <f t="shared" ref="H36:H41" si="8">E36*G36</f>
        <v>12</v>
      </c>
      <c r="I36" s="47">
        <f t="shared" ref="I36:I40" si="9">F36*G36</f>
        <v>12</v>
      </c>
      <c r="J36" s="48">
        <v>0.18</v>
      </c>
      <c r="K36" s="49">
        <f t="shared" ref="K36:K41" si="10">I36*J36</f>
        <v>2.16</v>
      </c>
      <c r="L36" s="45">
        <f t="shared" ref="L36:L42" si="11">I36+K36</f>
        <v>14.16</v>
      </c>
    </row>
    <row r="37" spans="1:12" x14ac:dyDescent="0.3">
      <c r="A37" s="12"/>
      <c r="B37" s="12" t="s">
        <v>53</v>
      </c>
      <c r="C37" s="14" t="s">
        <v>36</v>
      </c>
      <c r="D37" s="14" t="s">
        <v>43</v>
      </c>
      <c r="E37" s="14">
        <v>1</v>
      </c>
      <c r="F37" s="41">
        <f>E37*F11</f>
        <v>1</v>
      </c>
      <c r="G37" s="14">
        <v>0</v>
      </c>
      <c r="H37" s="37">
        <f t="shared" si="8"/>
        <v>0</v>
      </c>
      <c r="I37" s="38">
        <f t="shared" si="9"/>
        <v>0</v>
      </c>
      <c r="J37" s="39">
        <v>0.18</v>
      </c>
      <c r="K37" s="40">
        <f t="shared" si="10"/>
        <v>0</v>
      </c>
      <c r="L37" s="41">
        <f t="shared" si="11"/>
        <v>0</v>
      </c>
    </row>
    <row r="38" spans="1:12" x14ac:dyDescent="0.3">
      <c r="A38" s="12"/>
      <c r="B38" s="12" t="s">
        <v>54</v>
      </c>
      <c r="C38" s="14" t="s">
        <v>36</v>
      </c>
      <c r="D38" s="14" t="s">
        <v>55</v>
      </c>
      <c r="E38" s="14">
        <v>1</v>
      </c>
      <c r="F38" s="41">
        <f>E38*F11</f>
        <v>1</v>
      </c>
      <c r="G38" s="14">
        <v>0</v>
      </c>
      <c r="H38" s="37">
        <f t="shared" si="8"/>
        <v>0</v>
      </c>
      <c r="I38" s="38">
        <f t="shared" si="9"/>
        <v>0</v>
      </c>
      <c r="J38" s="39">
        <v>0.18</v>
      </c>
      <c r="K38" s="40">
        <f t="shared" si="10"/>
        <v>0</v>
      </c>
      <c r="L38" s="41">
        <f t="shared" si="11"/>
        <v>0</v>
      </c>
    </row>
    <row r="39" spans="1:12" x14ac:dyDescent="0.3">
      <c r="A39" s="12"/>
      <c r="B39" s="12" t="s">
        <v>56</v>
      </c>
      <c r="C39" s="14" t="s">
        <v>36</v>
      </c>
      <c r="D39" s="14" t="s">
        <v>55</v>
      </c>
      <c r="E39" s="14">
        <v>0.2</v>
      </c>
      <c r="F39" s="41">
        <f>E39*F11</f>
        <v>0.2</v>
      </c>
      <c r="G39" s="14">
        <v>115</v>
      </c>
      <c r="H39" s="37">
        <v>15</v>
      </c>
      <c r="I39" s="38">
        <f>H39*F11</f>
        <v>15</v>
      </c>
      <c r="J39" s="39">
        <v>0.18</v>
      </c>
      <c r="K39" s="40">
        <f t="shared" si="10"/>
        <v>2.6999999999999997</v>
      </c>
      <c r="L39" s="41">
        <f t="shared" si="11"/>
        <v>17.7</v>
      </c>
    </row>
    <row r="40" spans="1:12" x14ac:dyDescent="0.3">
      <c r="A40" s="12"/>
      <c r="B40" s="12" t="s">
        <v>57</v>
      </c>
      <c r="C40" s="14" t="s">
        <v>36</v>
      </c>
      <c r="D40" s="14" t="s">
        <v>58</v>
      </c>
      <c r="E40" s="14">
        <v>2</v>
      </c>
      <c r="F40" s="41">
        <f>E40*F11</f>
        <v>2</v>
      </c>
      <c r="G40" s="14">
        <v>1.35</v>
      </c>
      <c r="H40" s="37">
        <f t="shared" si="8"/>
        <v>2.7</v>
      </c>
      <c r="I40" s="38">
        <f t="shared" si="9"/>
        <v>2.7</v>
      </c>
      <c r="J40" s="39">
        <v>0.18</v>
      </c>
      <c r="K40" s="40">
        <f t="shared" si="10"/>
        <v>0.48599999999999999</v>
      </c>
      <c r="L40" s="41">
        <f t="shared" si="11"/>
        <v>3.1859999999999999</v>
      </c>
    </row>
    <row r="41" spans="1:12" x14ac:dyDescent="0.3">
      <c r="A41" s="12"/>
      <c r="B41" s="12" t="s">
        <v>59</v>
      </c>
      <c r="C41" s="14" t="s">
        <v>36</v>
      </c>
      <c r="D41" s="14" t="s">
        <v>43</v>
      </c>
      <c r="E41" s="14">
        <v>7.0000000000000007E-2</v>
      </c>
      <c r="F41" s="41">
        <f>E41*F11</f>
        <v>7.0000000000000007E-2</v>
      </c>
      <c r="G41" s="14">
        <v>168</v>
      </c>
      <c r="H41" s="37">
        <f t="shared" si="8"/>
        <v>11.760000000000002</v>
      </c>
      <c r="I41" s="38">
        <f>F41*G41</f>
        <v>11.760000000000002</v>
      </c>
      <c r="J41" s="39">
        <v>0.18</v>
      </c>
      <c r="K41" s="40">
        <f t="shared" si="10"/>
        <v>2.1168</v>
      </c>
      <c r="L41" s="41">
        <f t="shared" si="11"/>
        <v>13.876800000000001</v>
      </c>
    </row>
    <row r="42" spans="1:12" x14ac:dyDescent="0.3">
      <c r="A42" s="12"/>
      <c r="B42" s="12" t="s">
        <v>60</v>
      </c>
      <c r="C42" s="14" t="s">
        <v>61</v>
      </c>
      <c r="D42" s="14" t="s">
        <v>62</v>
      </c>
      <c r="E42" s="14">
        <f>0.1</f>
        <v>0.1</v>
      </c>
      <c r="F42" s="41">
        <f>E42*F11</f>
        <v>0.1</v>
      </c>
      <c r="G42" s="14">
        <v>54</v>
      </c>
      <c r="H42" s="37">
        <f>E42*G42</f>
        <v>5.4</v>
      </c>
      <c r="I42" s="38">
        <f>F42*G42</f>
        <v>5.4</v>
      </c>
      <c r="J42" s="39">
        <v>0.18</v>
      </c>
      <c r="K42" s="40">
        <f>I42*J42</f>
        <v>0.97199999999999998</v>
      </c>
      <c r="L42" s="41">
        <f t="shared" si="11"/>
        <v>6.3719999999999999</v>
      </c>
    </row>
    <row r="43" spans="1:12" x14ac:dyDescent="0.3">
      <c r="A43" s="12"/>
      <c r="B43" s="12"/>
      <c r="C43" s="14"/>
      <c r="D43" s="14"/>
      <c r="E43" s="14"/>
      <c r="F43" s="41"/>
      <c r="G43" s="14"/>
      <c r="H43" s="50">
        <f>SUM(H16:H42)</f>
        <v>661.37812500000007</v>
      </c>
      <c r="I43" s="50">
        <f>SUM(I16:I42)</f>
        <v>610.87812500000007</v>
      </c>
      <c r="J43" s="51"/>
      <c r="K43" s="52">
        <f>SUM(K16:K42)</f>
        <v>79.943662500000002</v>
      </c>
      <c r="L43" s="53">
        <f>SUM(L16:L42)</f>
        <v>690.82178750000003</v>
      </c>
    </row>
    <row r="44" spans="1:12" x14ac:dyDescent="0.3">
      <c r="A44" s="12" t="s">
        <v>63</v>
      </c>
      <c r="B44" s="12" t="s">
        <v>64</v>
      </c>
      <c r="C44" s="15"/>
      <c r="D44" s="14" t="s">
        <v>43</v>
      </c>
      <c r="E44" s="14">
        <f>C44*1%</f>
        <v>0</v>
      </c>
      <c r="F44" s="41">
        <f>F11</f>
        <v>1</v>
      </c>
      <c r="G44" s="14">
        <f>E44</f>
        <v>0</v>
      </c>
      <c r="H44" s="38">
        <f>G44</f>
        <v>0</v>
      </c>
      <c r="I44" s="38">
        <f>H44*F44</f>
        <v>0</v>
      </c>
      <c r="J44" s="39">
        <v>0.18</v>
      </c>
      <c r="K44" s="40">
        <f t="shared" ref="K44:K52" si="12">I44*J44</f>
        <v>0</v>
      </c>
      <c r="L44" s="41">
        <f t="shared" ref="L44:L52" si="13">I44+K44</f>
        <v>0</v>
      </c>
    </row>
    <row r="45" spans="1:12" x14ac:dyDescent="0.3">
      <c r="A45" s="12"/>
      <c r="B45" s="12" t="s">
        <v>65</v>
      </c>
      <c r="C45" s="15"/>
      <c r="D45" s="14" t="s">
        <v>43</v>
      </c>
      <c r="E45" s="14">
        <f>C45*1%</f>
        <v>0</v>
      </c>
      <c r="F45" s="41">
        <f>F11</f>
        <v>1</v>
      </c>
      <c r="G45" s="14">
        <f>E45</f>
        <v>0</v>
      </c>
      <c r="H45" s="38">
        <f>G45</f>
        <v>0</v>
      </c>
      <c r="I45" s="38">
        <f>H45*F45</f>
        <v>0</v>
      </c>
      <c r="J45" s="39">
        <v>0.18</v>
      </c>
      <c r="K45" s="40">
        <f t="shared" si="12"/>
        <v>0</v>
      </c>
      <c r="L45" s="41">
        <f t="shared" si="13"/>
        <v>0</v>
      </c>
    </row>
    <row r="46" spans="1:12" x14ac:dyDescent="0.3">
      <c r="A46" s="12"/>
      <c r="B46" s="12" t="s">
        <v>66</v>
      </c>
      <c r="C46" s="15"/>
      <c r="D46" s="14" t="s">
        <v>43</v>
      </c>
      <c r="E46" s="14">
        <f>C46*5%</f>
        <v>0</v>
      </c>
      <c r="F46" s="41">
        <f>F11</f>
        <v>1</v>
      </c>
      <c r="G46" s="14">
        <f t="shared" ref="G46:G51" si="14">E46</f>
        <v>0</v>
      </c>
      <c r="H46" s="38">
        <f t="shared" ref="H46:H51" si="15">G46</f>
        <v>0</v>
      </c>
      <c r="I46" s="38">
        <f>H46*F46</f>
        <v>0</v>
      </c>
      <c r="J46" s="39"/>
      <c r="K46" s="40">
        <f t="shared" si="12"/>
        <v>0</v>
      </c>
      <c r="L46" s="41">
        <f t="shared" si="13"/>
        <v>0</v>
      </c>
    </row>
    <row r="47" spans="1:12" x14ac:dyDescent="0.3">
      <c r="A47" s="12"/>
      <c r="B47" s="12" t="s">
        <v>67</v>
      </c>
      <c r="C47" s="15"/>
      <c r="D47" s="14" t="s">
        <v>43</v>
      </c>
      <c r="E47" s="14">
        <f>C47*7%</f>
        <v>0</v>
      </c>
      <c r="F47" s="41">
        <f>F11</f>
        <v>1</v>
      </c>
      <c r="G47" s="14">
        <f t="shared" si="14"/>
        <v>0</v>
      </c>
      <c r="H47" s="38">
        <f t="shared" si="15"/>
        <v>0</v>
      </c>
      <c r="I47" s="38">
        <f>H47*F47</f>
        <v>0</v>
      </c>
      <c r="J47" s="12"/>
      <c r="K47" s="40">
        <f t="shared" si="12"/>
        <v>0</v>
      </c>
      <c r="L47" s="41">
        <f t="shared" si="13"/>
        <v>0</v>
      </c>
    </row>
    <row r="48" spans="1:12" x14ac:dyDescent="0.3">
      <c r="A48" s="9" t="s">
        <v>68</v>
      </c>
      <c r="B48" s="12" t="s">
        <v>69</v>
      </c>
      <c r="C48" s="15"/>
      <c r="D48" s="14" t="s">
        <v>43</v>
      </c>
      <c r="E48" s="14">
        <f>C48*2.5%</f>
        <v>0</v>
      </c>
      <c r="F48" s="41">
        <f>F11</f>
        <v>1</v>
      </c>
      <c r="G48" s="14">
        <f t="shared" si="14"/>
        <v>0</v>
      </c>
      <c r="H48" s="38">
        <f t="shared" si="15"/>
        <v>0</v>
      </c>
      <c r="I48" s="38">
        <f t="shared" ref="I48:I52" si="16">H48*F48</f>
        <v>0</v>
      </c>
      <c r="J48" s="12"/>
      <c r="K48" s="40">
        <f t="shared" si="12"/>
        <v>0</v>
      </c>
      <c r="L48" s="41">
        <f t="shared" si="13"/>
        <v>0</v>
      </c>
    </row>
    <row r="49" spans="1:12" x14ac:dyDescent="0.3">
      <c r="A49" s="12"/>
      <c r="B49" s="12" t="s">
        <v>70</v>
      </c>
      <c r="C49" s="15"/>
      <c r="D49" s="14" t="s">
        <v>43</v>
      </c>
      <c r="E49" s="14">
        <f>C49*2%</f>
        <v>0</v>
      </c>
      <c r="F49" s="41">
        <f>F11</f>
        <v>1</v>
      </c>
      <c r="G49" s="14">
        <f t="shared" si="14"/>
        <v>0</v>
      </c>
      <c r="H49" s="38">
        <f t="shared" si="15"/>
        <v>0</v>
      </c>
      <c r="I49" s="38">
        <f t="shared" si="16"/>
        <v>0</v>
      </c>
      <c r="J49" s="12"/>
      <c r="K49" s="40">
        <f t="shared" si="12"/>
        <v>0</v>
      </c>
      <c r="L49" s="41">
        <f t="shared" si="13"/>
        <v>0</v>
      </c>
    </row>
    <row r="50" spans="1:12" x14ac:dyDescent="0.3">
      <c r="A50" s="12"/>
      <c r="B50" s="12" t="s">
        <v>71</v>
      </c>
      <c r="C50" s="15"/>
      <c r="D50" s="14" t="s">
        <v>43</v>
      </c>
      <c r="E50" s="14">
        <v>1200</v>
      </c>
      <c r="F50" s="41">
        <f>F11</f>
        <v>1</v>
      </c>
      <c r="G50" s="14">
        <f t="shared" si="14"/>
        <v>1200</v>
      </c>
      <c r="H50" s="38">
        <f t="shared" si="15"/>
        <v>1200</v>
      </c>
      <c r="I50" s="38">
        <f t="shared" si="16"/>
        <v>1200</v>
      </c>
      <c r="J50" s="12"/>
      <c r="K50" s="40">
        <f t="shared" si="12"/>
        <v>0</v>
      </c>
      <c r="L50" s="41">
        <f t="shared" si="13"/>
        <v>1200</v>
      </c>
    </row>
    <row r="51" spans="1:12" x14ac:dyDescent="0.3">
      <c r="A51" s="12"/>
      <c r="B51" s="12" t="s">
        <v>240</v>
      </c>
      <c r="C51" s="15">
        <f>B57</f>
        <v>3740</v>
      </c>
      <c r="D51" s="14" t="s">
        <v>43</v>
      </c>
      <c r="E51" s="14">
        <f>C51*3%</f>
        <v>112.2</v>
      </c>
      <c r="F51" s="41">
        <f>F11</f>
        <v>1</v>
      </c>
      <c r="G51" s="14">
        <f t="shared" si="14"/>
        <v>112.2</v>
      </c>
      <c r="H51" s="38">
        <f t="shared" si="15"/>
        <v>112.2</v>
      </c>
      <c r="I51" s="38">
        <f t="shared" si="16"/>
        <v>112.2</v>
      </c>
      <c r="J51" s="12"/>
      <c r="K51" s="40">
        <f t="shared" si="12"/>
        <v>0</v>
      </c>
      <c r="L51" s="41">
        <f t="shared" si="13"/>
        <v>112.2</v>
      </c>
    </row>
    <row r="52" spans="1:12" x14ac:dyDescent="0.3">
      <c r="A52" s="12" t="s">
        <v>73</v>
      </c>
      <c r="B52" s="54" t="s">
        <v>74</v>
      </c>
      <c r="C52" s="55"/>
      <c r="D52" s="55" t="s">
        <v>43</v>
      </c>
      <c r="E52" s="55">
        <v>420</v>
      </c>
      <c r="F52" s="41">
        <f>F11</f>
        <v>1</v>
      </c>
      <c r="G52" s="55">
        <v>420</v>
      </c>
      <c r="H52" s="56">
        <v>420</v>
      </c>
      <c r="I52" s="38">
        <f t="shared" si="16"/>
        <v>420</v>
      </c>
      <c r="J52" s="54"/>
      <c r="K52" s="57">
        <f t="shared" si="12"/>
        <v>0</v>
      </c>
      <c r="L52" s="58">
        <f t="shared" si="13"/>
        <v>420</v>
      </c>
    </row>
    <row r="53" spans="1:12" x14ac:dyDescent="0.3">
      <c r="A53" s="2"/>
      <c r="B53" s="2"/>
      <c r="C53" s="1"/>
      <c r="D53" s="1"/>
      <c r="E53" s="1"/>
      <c r="F53" s="59">
        <f>F11</f>
        <v>1</v>
      </c>
      <c r="G53" s="1"/>
      <c r="H53" s="59">
        <f>SUM(H43:H52)</f>
        <v>2393.578125</v>
      </c>
      <c r="I53" s="59">
        <f>SUM(I43:I52)</f>
        <v>2343.078125</v>
      </c>
      <c r="J53" s="60"/>
      <c r="K53" s="59">
        <f>SUM(K43:K52)</f>
        <v>79.943662500000002</v>
      </c>
      <c r="L53" s="59">
        <f>SUM(L43:L52)</f>
        <v>2423.0217874999998</v>
      </c>
    </row>
    <row r="54" spans="1:12" x14ac:dyDescent="0.3">
      <c r="A54" s="2"/>
      <c r="B54" s="2"/>
      <c r="C54" s="1"/>
      <c r="D54" s="1"/>
      <c r="E54" s="1"/>
      <c r="F54" s="2"/>
      <c r="G54" s="1"/>
      <c r="H54" s="61"/>
      <c r="I54" s="61"/>
    </row>
    <row r="55" spans="1:12" ht="46.2" customHeight="1" x14ac:dyDescent="0.3">
      <c r="A55" s="2"/>
      <c r="B55" s="2"/>
      <c r="C55" s="1"/>
      <c r="D55" s="1"/>
      <c r="E55" s="1"/>
      <c r="F55" s="2"/>
      <c r="G55" s="62" t="s">
        <v>75</v>
      </c>
      <c r="H55" s="2"/>
      <c r="I55" s="2"/>
      <c r="J55" s="2"/>
      <c r="K55" s="61"/>
      <c r="L55" s="2"/>
    </row>
    <row r="56" spans="1:12" ht="18" x14ac:dyDescent="0.35">
      <c r="A56" s="63" t="s">
        <v>76</v>
      </c>
      <c r="B56" s="64">
        <v>44</v>
      </c>
      <c r="C56" s="122" t="s">
        <v>77</v>
      </c>
      <c r="D56" s="122"/>
      <c r="E56" s="122"/>
      <c r="F56" s="122"/>
      <c r="G56" s="65">
        <f>G13</f>
        <v>1425</v>
      </c>
      <c r="H56" s="1"/>
      <c r="I56" s="1"/>
      <c r="J56" s="2"/>
      <c r="K56" s="2"/>
      <c r="L56" s="2"/>
    </row>
    <row r="57" spans="1:12" ht="18" x14ac:dyDescent="0.35">
      <c r="A57" s="63">
        <v>85</v>
      </c>
      <c r="B57" s="63">
        <f>B56*A57</f>
        <v>3740</v>
      </c>
      <c r="C57" s="122" t="s">
        <v>78</v>
      </c>
      <c r="D57" s="122"/>
      <c r="E57" s="122"/>
      <c r="F57" s="122"/>
      <c r="G57" s="65">
        <f>I53/F11</f>
        <v>2343.078125</v>
      </c>
      <c r="H57" s="1"/>
      <c r="I57" s="1"/>
      <c r="J57" s="2"/>
      <c r="K57" s="2"/>
      <c r="L57" s="2"/>
    </row>
    <row r="58" spans="1:12" x14ac:dyDescent="0.3">
      <c r="A58" s="2"/>
      <c r="B58" s="2"/>
      <c r="C58" s="130" t="s">
        <v>79</v>
      </c>
      <c r="D58" s="130"/>
      <c r="E58" s="130"/>
      <c r="F58" s="130"/>
      <c r="G58" s="67">
        <f>SUM(G56:G57)</f>
        <v>3768.078125</v>
      </c>
      <c r="H58" s="1"/>
      <c r="I58" s="1"/>
      <c r="J58" s="2"/>
      <c r="K58" s="2"/>
      <c r="L58" s="2"/>
    </row>
    <row r="59" spans="1:12" ht="14.4" customHeight="1" x14ac:dyDescent="0.35">
      <c r="A59" s="63" t="s">
        <v>76</v>
      </c>
      <c r="B59" s="64">
        <f>H60</f>
        <v>39.663980263157896</v>
      </c>
      <c r="C59" s="2"/>
      <c r="G59" s="1"/>
      <c r="H59" s="1"/>
      <c r="I59" s="1"/>
      <c r="J59" s="2"/>
      <c r="K59" s="2"/>
      <c r="L59" s="2"/>
    </row>
    <row r="60" spans="1:12" ht="14.4" customHeight="1" x14ac:dyDescent="0.35">
      <c r="A60" s="63">
        <v>95</v>
      </c>
      <c r="B60" s="64">
        <f>B59*A60</f>
        <v>3768.078125</v>
      </c>
      <c r="C60" s="2"/>
      <c r="G60" s="68">
        <f>G58/A57</f>
        <v>44.330330882352939</v>
      </c>
      <c r="H60" s="69">
        <f>G58/A60</f>
        <v>39.663980263157896</v>
      </c>
      <c r="I60" s="1"/>
      <c r="J60" s="2"/>
      <c r="K60" s="2"/>
      <c r="L60" s="2"/>
    </row>
    <row r="61" spans="1:12" ht="14.4" customHeight="1" x14ac:dyDescent="0.3">
      <c r="A61" s="108"/>
      <c r="B61" s="109"/>
      <c r="D61" s="70" t="s">
        <v>80</v>
      </c>
      <c r="E61" s="1"/>
      <c r="F61" s="71"/>
      <c r="G61" s="71"/>
      <c r="H61" s="1"/>
      <c r="I61" s="1"/>
      <c r="J61" s="2"/>
      <c r="K61" s="2"/>
      <c r="L61" s="2"/>
    </row>
    <row r="62" spans="1:12" ht="14.4" customHeight="1" x14ac:dyDescent="0.3">
      <c r="A62" s="108"/>
      <c r="B62" s="109"/>
      <c r="D62" s="72" t="s">
        <v>81</v>
      </c>
      <c r="E62" s="73">
        <f>I53/F53</f>
        <v>2343.078125</v>
      </c>
      <c r="F62" s="74" t="s">
        <v>20</v>
      </c>
      <c r="G62" s="71"/>
      <c r="H62" s="1"/>
      <c r="I62" s="1"/>
      <c r="J62" s="2"/>
      <c r="K62" s="2"/>
      <c r="L62" s="2"/>
    </row>
    <row r="63" spans="1:12" x14ac:dyDescent="0.3">
      <c r="A63" s="2"/>
      <c r="B63" s="75"/>
      <c r="C63" s="2"/>
      <c r="D63" s="72" t="s">
        <v>21</v>
      </c>
      <c r="E63" s="73">
        <f>L53/F53</f>
        <v>2423.0217874999998</v>
      </c>
      <c r="F63" s="74" t="s">
        <v>20</v>
      </c>
      <c r="G63" s="71"/>
      <c r="H63" s="1"/>
      <c r="I63" s="1"/>
      <c r="J63" s="2"/>
      <c r="K63" s="2"/>
      <c r="L63" s="2"/>
    </row>
    <row r="64" spans="1:12" x14ac:dyDescent="0.3">
      <c r="A64" s="2"/>
      <c r="B64" s="2"/>
      <c r="C64" s="1"/>
      <c r="D64" s="76"/>
      <c r="E64" s="71"/>
      <c r="F64" s="71"/>
      <c r="G64" s="1"/>
      <c r="H64" s="2"/>
      <c r="I64" s="2"/>
      <c r="J64" s="2"/>
      <c r="K64" s="2"/>
      <c r="L64" s="2"/>
    </row>
    <row r="65" spans="2:6" x14ac:dyDescent="0.3">
      <c r="D65" s="77" t="s">
        <v>21</v>
      </c>
      <c r="E65" s="78"/>
      <c r="F65" s="79" t="s">
        <v>19</v>
      </c>
    </row>
    <row r="66" spans="2:6" x14ac:dyDescent="0.3">
      <c r="B66" s="122" t="s">
        <v>82</v>
      </c>
      <c r="C66" s="122"/>
      <c r="D66" s="65">
        <f>G14</f>
        <v>1596</v>
      </c>
      <c r="E66" s="75"/>
      <c r="F66" s="80">
        <f>G13</f>
        <v>1425</v>
      </c>
    </row>
    <row r="67" spans="2:6" x14ac:dyDescent="0.3">
      <c r="B67" s="124" t="s">
        <v>83</v>
      </c>
      <c r="C67" s="125"/>
      <c r="D67" s="65">
        <f>E63</f>
        <v>2423.0217874999998</v>
      </c>
      <c r="E67" s="75"/>
      <c r="F67" s="80">
        <f>E62</f>
        <v>2343.078125</v>
      </c>
    </row>
    <row r="68" spans="2:6" x14ac:dyDescent="0.3">
      <c r="B68" s="66" t="s">
        <v>79</v>
      </c>
      <c r="C68" s="66"/>
      <c r="D68" s="67">
        <f>SUM(D66:D67)</f>
        <v>4019.0217874999998</v>
      </c>
      <c r="E68" s="78"/>
      <c r="F68" s="81">
        <f>SUM(F66:F67)</f>
        <v>3768.078125</v>
      </c>
    </row>
    <row r="69" spans="2:6" x14ac:dyDescent="0.3">
      <c r="D69" s="82"/>
      <c r="E69" s="1"/>
      <c r="F69" s="71"/>
    </row>
    <row r="70" spans="2:6" x14ac:dyDescent="0.3">
      <c r="D70" s="68">
        <f>D68/A57</f>
        <v>47.282609264705883</v>
      </c>
      <c r="E70" s="1"/>
      <c r="F70" s="68">
        <f>F68/A57</f>
        <v>44.330330882352939</v>
      </c>
    </row>
    <row r="77" spans="2:6" x14ac:dyDescent="0.3">
      <c r="D77" s="43"/>
    </row>
    <row r="78" spans="2:6" x14ac:dyDescent="0.3">
      <c r="D78" s="43"/>
    </row>
    <row r="79" spans="2:6" x14ac:dyDescent="0.3">
      <c r="D79" s="43"/>
    </row>
    <row r="80" spans="2:6" x14ac:dyDescent="0.3">
      <c r="D80" s="43"/>
    </row>
    <row r="81" spans="4:4" x14ac:dyDescent="0.3">
      <c r="D81" s="43"/>
    </row>
  </sheetData>
  <mergeCells count="13">
    <mergeCell ref="B66:C66"/>
    <mergeCell ref="B67:C67"/>
    <mergeCell ref="D13:E13"/>
    <mergeCell ref="D14:E14"/>
    <mergeCell ref="C56:F56"/>
    <mergeCell ref="C57:F57"/>
    <mergeCell ref="C58:F58"/>
    <mergeCell ref="L7:L8"/>
    <mergeCell ref="A1:F1"/>
    <mergeCell ref="A2:F2"/>
    <mergeCell ref="A3:F3"/>
    <mergeCell ref="A5:F5"/>
    <mergeCell ref="J7:K7"/>
  </mergeCells>
  <pageMargins left="0.31496062992125984" right="0.11811023622047245" top="0.35433070866141736" bottom="0.15748031496062992" header="0.31496062992125984" footer="0.31496062992125984"/>
  <pageSetup paperSize="9" scale="9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0CDC-8256-46A1-80D4-E6C10E83FEF5}">
  <dimension ref="A1:N83"/>
  <sheetViews>
    <sheetView topLeftCell="A57" workbookViewId="0">
      <selection activeCell="B59" sqref="B59"/>
    </sheetView>
  </sheetViews>
  <sheetFormatPr defaultRowHeight="14.4" x14ac:dyDescent="0.3"/>
  <cols>
    <col min="1" max="1" width="9.6640625" bestFit="1" customWidth="1"/>
    <col min="2" max="2" width="41.21875" bestFit="1" customWidth="1"/>
    <col min="3" max="3" width="15" bestFit="1" customWidth="1"/>
    <col min="4" max="4" width="10.33203125" bestFit="1" customWidth="1"/>
    <col min="5" max="5" width="7.5546875" bestFit="1" customWidth="1"/>
    <col min="6" max="6" width="8.5546875" bestFit="1" customWidth="1"/>
    <col min="7" max="7" width="9.109375" style="43" bestFit="1" customWidth="1"/>
    <col min="8" max="8" width="8" bestFit="1" customWidth="1"/>
    <col min="9" max="9" width="10.44140625" bestFit="1" customWidth="1"/>
    <col min="10" max="10" width="5.44140625" bestFit="1" customWidth="1"/>
    <col min="11" max="11" width="9.44140625" bestFit="1" customWidth="1"/>
    <col min="12" max="12" width="10.44140625" bestFit="1" customWidth="1"/>
    <col min="13" max="13" width="5" bestFit="1" customWidth="1"/>
    <col min="14" max="14" width="7" bestFit="1" customWidth="1"/>
  </cols>
  <sheetData>
    <row r="1" spans="1:12" x14ac:dyDescent="0.3">
      <c r="A1" s="114" t="s">
        <v>0</v>
      </c>
      <c r="B1" s="115"/>
      <c r="C1" s="115"/>
      <c r="D1" s="115"/>
      <c r="E1" s="115"/>
      <c r="F1" s="115"/>
      <c r="G1" s="1"/>
      <c r="H1" s="2"/>
      <c r="I1" s="2"/>
      <c r="J1" s="2"/>
      <c r="K1" s="2"/>
      <c r="L1" s="2"/>
    </row>
    <row r="2" spans="1:12" x14ac:dyDescent="0.3">
      <c r="A2" s="114" t="s">
        <v>1</v>
      </c>
      <c r="B2" s="115"/>
      <c r="C2" s="115"/>
      <c r="D2" s="115"/>
      <c r="E2" s="115"/>
      <c r="F2" s="115"/>
      <c r="G2" s="1"/>
      <c r="H2" s="2"/>
      <c r="I2" s="2"/>
      <c r="J2" s="2"/>
      <c r="K2" s="2"/>
      <c r="L2" s="2"/>
    </row>
    <row r="3" spans="1:12" ht="18" x14ac:dyDescent="0.35">
      <c r="A3" s="116" t="s">
        <v>84</v>
      </c>
      <c r="B3" s="116"/>
      <c r="C3" s="116"/>
      <c r="D3" s="116"/>
      <c r="E3" s="116"/>
      <c r="F3" s="116"/>
      <c r="G3" s="3"/>
      <c r="H3" s="4"/>
      <c r="I3" s="4"/>
      <c r="J3" s="4"/>
      <c r="K3" s="4"/>
      <c r="L3" s="4"/>
    </row>
    <row r="4" spans="1:12" x14ac:dyDescent="0.3">
      <c r="G4" s="1"/>
      <c r="H4" s="2"/>
      <c r="I4" s="2"/>
      <c r="J4" s="2"/>
      <c r="K4" s="2"/>
      <c r="L4" s="2"/>
    </row>
    <row r="5" spans="1:12" ht="21" x14ac:dyDescent="0.4">
      <c r="A5" s="128" t="s">
        <v>2</v>
      </c>
      <c r="B5" s="129"/>
      <c r="C5" s="129"/>
      <c r="D5" s="129"/>
      <c r="E5" s="129"/>
      <c r="F5" s="129"/>
      <c r="G5" s="1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1"/>
      <c r="H6" s="2"/>
      <c r="I6" s="2"/>
      <c r="J6" s="2"/>
      <c r="K6" s="2"/>
      <c r="L6" s="2"/>
    </row>
    <row r="7" spans="1:12" ht="24" x14ac:dyDescent="0.3">
      <c r="A7" s="5" t="s">
        <v>3</v>
      </c>
      <c r="B7" s="6" t="s">
        <v>4</v>
      </c>
      <c r="C7" s="7" t="s">
        <v>5</v>
      </c>
      <c r="D7" s="7" t="s">
        <v>6</v>
      </c>
      <c r="E7" s="7" t="s">
        <v>7</v>
      </c>
      <c r="F7" s="6" t="s">
        <v>8</v>
      </c>
      <c r="G7" s="7" t="s">
        <v>9</v>
      </c>
      <c r="H7" s="8" t="s">
        <v>10</v>
      </c>
      <c r="I7" s="7" t="s">
        <v>11</v>
      </c>
      <c r="J7" s="117" t="s">
        <v>12</v>
      </c>
      <c r="K7" s="118"/>
      <c r="L7" s="119" t="s">
        <v>13</v>
      </c>
    </row>
    <row r="8" spans="1:12" x14ac:dyDescent="0.3">
      <c r="A8" s="9" t="s">
        <v>14</v>
      </c>
      <c r="B8" s="9"/>
      <c r="C8" s="10"/>
      <c r="D8" s="10"/>
      <c r="E8" s="10"/>
      <c r="F8" s="9"/>
      <c r="G8" s="10"/>
      <c r="H8" s="10"/>
      <c r="I8" s="10"/>
      <c r="J8" s="10" t="s">
        <v>15</v>
      </c>
      <c r="K8" s="11" t="s">
        <v>11</v>
      </c>
      <c r="L8" s="119"/>
    </row>
    <row r="9" spans="1:12" x14ac:dyDescent="0.3">
      <c r="A9" s="12"/>
      <c r="B9" s="13" t="s">
        <v>16</v>
      </c>
      <c r="C9" s="20" t="s">
        <v>18</v>
      </c>
      <c r="D9" s="14" t="s">
        <v>17</v>
      </c>
      <c r="E9" s="15">
        <v>425</v>
      </c>
      <c r="F9" s="15">
        <v>425</v>
      </c>
      <c r="G9" s="14">
        <v>9.5</v>
      </c>
      <c r="H9" s="16">
        <f>F9*G9</f>
        <v>4037.5</v>
      </c>
      <c r="I9" s="17">
        <f>F9*G9</f>
        <v>4037.5</v>
      </c>
      <c r="J9" s="18">
        <v>0.12</v>
      </c>
      <c r="K9" s="19">
        <f>I9*J9</f>
        <v>484.5</v>
      </c>
      <c r="L9" s="15">
        <f>I9+K9</f>
        <v>4522</v>
      </c>
    </row>
    <row r="10" spans="1:12" x14ac:dyDescent="0.3">
      <c r="A10" s="12"/>
      <c r="B10" s="13"/>
      <c r="C10" s="20"/>
      <c r="D10" s="14"/>
      <c r="E10" s="15"/>
      <c r="F10" s="15"/>
      <c r="G10" s="14"/>
      <c r="H10" s="16"/>
      <c r="I10" s="17"/>
      <c r="J10" s="18"/>
      <c r="K10" s="19"/>
      <c r="L10" s="15"/>
    </row>
    <row r="11" spans="1:12" ht="18" x14ac:dyDescent="0.3">
      <c r="A11" s="21"/>
      <c r="B11" s="13" t="s">
        <v>85</v>
      </c>
      <c r="C11" s="22"/>
      <c r="D11" s="22"/>
      <c r="E11" s="23"/>
      <c r="F11" s="24">
        <v>1</v>
      </c>
      <c r="G11" s="23"/>
      <c r="H11" s="25">
        <f>SUM(H9:H9)</f>
        <v>4037.5</v>
      </c>
      <c r="I11" s="26">
        <f>SUM(I9:I9)</f>
        <v>4037.5</v>
      </c>
      <c r="J11" s="27"/>
      <c r="K11" s="28">
        <f>SUM(K9:K9)</f>
        <v>484.5</v>
      </c>
      <c r="L11" s="29">
        <f>SUM(L9:L9)</f>
        <v>4522</v>
      </c>
    </row>
    <row r="12" spans="1:12" x14ac:dyDescent="0.3">
      <c r="A12" s="21"/>
      <c r="B12" s="21"/>
      <c r="C12" s="23"/>
      <c r="D12" s="30"/>
      <c r="E12" s="31"/>
      <c r="F12" s="32"/>
      <c r="G12" s="23"/>
      <c r="H12" s="25"/>
      <c r="I12" s="26"/>
      <c r="J12" s="27"/>
      <c r="K12" s="28"/>
      <c r="L12" s="29"/>
    </row>
    <row r="13" spans="1:12" x14ac:dyDescent="0.3">
      <c r="A13" s="12"/>
      <c r="B13" s="12"/>
      <c r="C13" s="14"/>
      <c r="D13" s="120" t="s">
        <v>19</v>
      </c>
      <c r="E13" s="121"/>
      <c r="F13" s="35" t="s">
        <v>20</v>
      </c>
      <c r="G13" s="36">
        <f>I11/F11</f>
        <v>4037.5</v>
      </c>
      <c r="H13" s="37"/>
      <c r="I13" s="38"/>
      <c r="J13" s="39"/>
      <c r="K13" s="40"/>
      <c r="L13" s="41"/>
    </row>
    <row r="14" spans="1:12" x14ac:dyDescent="0.3">
      <c r="A14" s="12"/>
      <c r="B14" s="12"/>
      <c r="C14" s="14"/>
      <c r="D14" s="120" t="s">
        <v>21</v>
      </c>
      <c r="E14" s="121"/>
      <c r="F14" s="35" t="s">
        <v>20</v>
      </c>
      <c r="G14" s="36">
        <f>L11/F11</f>
        <v>4522</v>
      </c>
      <c r="H14" s="37"/>
      <c r="I14" s="38"/>
      <c r="J14" s="39"/>
      <c r="K14" s="40"/>
      <c r="L14" s="41"/>
    </row>
    <row r="15" spans="1:12" x14ac:dyDescent="0.3">
      <c r="A15" s="12"/>
      <c r="B15" s="12"/>
      <c r="C15" s="14"/>
      <c r="D15" s="33"/>
      <c r="E15" s="34"/>
      <c r="F15" s="35"/>
      <c r="G15" s="36"/>
      <c r="H15" s="37"/>
      <c r="I15" s="38"/>
      <c r="J15" s="39"/>
      <c r="K15" s="40"/>
      <c r="L15" s="41"/>
    </row>
    <row r="16" spans="1:12" x14ac:dyDescent="0.3">
      <c r="A16" s="9" t="s">
        <v>22</v>
      </c>
      <c r="B16" s="42" t="s">
        <v>23</v>
      </c>
      <c r="C16" s="14" t="str">
        <f>C9</f>
        <v>J24 WHISKY</v>
      </c>
      <c r="D16" s="14" t="s">
        <v>24</v>
      </c>
      <c r="E16" s="14">
        <v>2.75</v>
      </c>
      <c r="F16" s="41">
        <f>E16*F11</f>
        <v>2.75</v>
      </c>
      <c r="G16" s="14">
        <v>52</v>
      </c>
      <c r="H16" s="37">
        <f>E16*G16</f>
        <v>143</v>
      </c>
      <c r="I16" s="38">
        <f>F16*G16</f>
        <v>143</v>
      </c>
      <c r="J16" s="39">
        <v>0.12</v>
      </c>
      <c r="K16" s="40">
        <f t="shared" ref="K16:K21" si="0">I16*J16</f>
        <v>17.16</v>
      </c>
      <c r="L16" s="41">
        <f t="shared" ref="L16:L21" si="1">I16+K16</f>
        <v>160.16</v>
      </c>
    </row>
    <row r="17" spans="1:14" x14ac:dyDescent="0.3">
      <c r="A17" s="9"/>
      <c r="B17" s="42" t="s">
        <v>25</v>
      </c>
      <c r="C17" s="14" t="str">
        <f>C9</f>
        <v>J24 WHISKY</v>
      </c>
      <c r="D17" s="14" t="s">
        <v>24</v>
      </c>
      <c r="E17" s="14">
        <v>0.12</v>
      </c>
      <c r="F17" s="41">
        <f>E17*F11</f>
        <v>0.12</v>
      </c>
      <c r="G17" s="14">
        <v>400</v>
      </c>
      <c r="H17" s="37">
        <f>E17*G17</f>
        <v>48</v>
      </c>
      <c r="I17" s="38">
        <f>F17*G17</f>
        <v>48</v>
      </c>
      <c r="J17" s="39">
        <v>0.12</v>
      </c>
      <c r="K17" s="40">
        <f t="shared" si="0"/>
        <v>5.76</v>
      </c>
      <c r="L17" s="41">
        <f t="shared" si="1"/>
        <v>53.76</v>
      </c>
    </row>
    <row r="18" spans="1:14" x14ac:dyDescent="0.3">
      <c r="A18" s="9"/>
      <c r="B18" s="42" t="s">
        <v>86</v>
      </c>
      <c r="C18" s="14" t="str">
        <f>C9</f>
        <v>J24 WHISKY</v>
      </c>
      <c r="D18" s="14" t="s">
        <v>24</v>
      </c>
      <c r="E18" s="14">
        <v>1</v>
      </c>
      <c r="F18" s="41">
        <f>E18*F11</f>
        <v>1</v>
      </c>
      <c r="G18" s="14">
        <v>450</v>
      </c>
      <c r="H18" s="37">
        <f>E18*G18</f>
        <v>450</v>
      </c>
      <c r="I18" s="38">
        <f>F18*G18</f>
        <v>450</v>
      </c>
      <c r="J18" s="39">
        <v>0.12</v>
      </c>
      <c r="K18" s="40">
        <f t="shared" si="0"/>
        <v>54</v>
      </c>
      <c r="L18" s="41">
        <f t="shared" si="1"/>
        <v>504</v>
      </c>
    </row>
    <row r="19" spans="1:14" x14ac:dyDescent="0.3">
      <c r="A19" s="9" t="s">
        <v>26</v>
      </c>
      <c r="B19" s="12" t="s">
        <v>27</v>
      </c>
      <c r="C19" s="14" t="str">
        <f>C9</f>
        <v>J24 WHISKY</v>
      </c>
      <c r="D19" s="14" t="s">
        <v>28</v>
      </c>
      <c r="E19" s="14">
        <v>100</v>
      </c>
      <c r="F19" s="41">
        <f>E19*F11</f>
        <v>100</v>
      </c>
      <c r="G19" s="14">
        <v>125</v>
      </c>
      <c r="H19" s="37">
        <f>F19/1000*G19/F11</f>
        <v>12.5</v>
      </c>
      <c r="I19" s="38">
        <f>F19/1000*G19</f>
        <v>12.5</v>
      </c>
      <c r="J19" s="39">
        <v>0.12</v>
      </c>
      <c r="K19" s="40">
        <f t="shared" si="0"/>
        <v>1.5</v>
      </c>
      <c r="L19" s="41">
        <f t="shared" si="1"/>
        <v>14</v>
      </c>
    </row>
    <row r="20" spans="1:14" x14ac:dyDescent="0.3">
      <c r="A20" s="9"/>
      <c r="B20" s="12" t="s">
        <v>29</v>
      </c>
      <c r="C20" s="14" t="str">
        <f>C9</f>
        <v>J24 WHISKY</v>
      </c>
      <c r="D20" s="14" t="s">
        <v>28</v>
      </c>
      <c r="E20" s="14">
        <v>100</v>
      </c>
      <c r="F20" s="41">
        <f>E20*F11</f>
        <v>100</v>
      </c>
      <c r="G20" s="14">
        <v>257</v>
      </c>
      <c r="H20" s="37">
        <f>F20/5000*G20/F11</f>
        <v>5.14</v>
      </c>
      <c r="I20" s="38">
        <f>H20*F11</f>
        <v>5.14</v>
      </c>
      <c r="J20" s="39">
        <v>0.12</v>
      </c>
      <c r="K20" s="40">
        <f t="shared" si="0"/>
        <v>0.6167999999999999</v>
      </c>
      <c r="L20" s="41">
        <f t="shared" si="1"/>
        <v>5.7567999999999993</v>
      </c>
    </row>
    <row r="21" spans="1:14" x14ac:dyDescent="0.3">
      <c r="A21" s="9"/>
      <c r="B21" s="12" t="s">
        <v>30</v>
      </c>
      <c r="C21" s="14" t="str">
        <f>C9</f>
        <v>J24 WHISKY</v>
      </c>
      <c r="D21" s="14" t="s">
        <v>28</v>
      </c>
      <c r="E21" s="14">
        <v>50</v>
      </c>
      <c r="F21" s="41">
        <f>E21*F11</f>
        <v>50</v>
      </c>
      <c r="G21" s="14">
        <v>162</v>
      </c>
      <c r="H21" s="37">
        <f>F21/1000*G21/F11</f>
        <v>8.1</v>
      </c>
      <c r="I21" s="38">
        <f>F21/1000*G21</f>
        <v>8.1</v>
      </c>
      <c r="J21" s="39">
        <v>0.12</v>
      </c>
      <c r="K21" s="40">
        <f t="shared" si="0"/>
        <v>0.97199999999999998</v>
      </c>
      <c r="L21" s="41">
        <f t="shared" si="1"/>
        <v>9.0719999999999992</v>
      </c>
    </row>
    <row r="22" spans="1:14" x14ac:dyDescent="0.3">
      <c r="A22" s="9"/>
      <c r="B22" s="12"/>
      <c r="C22" s="14"/>
      <c r="D22" s="14"/>
      <c r="E22" s="14"/>
      <c r="F22" s="41"/>
      <c r="G22" s="14"/>
      <c r="H22" s="37"/>
      <c r="I22" s="38"/>
      <c r="J22" s="39"/>
      <c r="K22" s="40"/>
      <c r="L22" s="41"/>
    </row>
    <row r="23" spans="1:14" x14ac:dyDescent="0.3">
      <c r="A23" s="9" t="s">
        <v>31</v>
      </c>
      <c r="B23" s="12" t="s">
        <v>32</v>
      </c>
      <c r="C23" s="14" t="s">
        <v>33</v>
      </c>
      <c r="D23" s="14" t="s">
        <v>34</v>
      </c>
      <c r="E23" s="14">
        <v>1.5</v>
      </c>
      <c r="F23" s="41">
        <f>E23*F11</f>
        <v>1.5</v>
      </c>
      <c r="G23" s="14">
        <v>32</v>
      </c>
      <c r="H23" s="37">
        <f>E23*G23</f>
        <v>48</v>
      </c>
      <c r="I23" s="38">
        <f>F23*G23</f>
        <v>48</v>
      </c>
      <c r="J23" s="39">
        <v>0.18</v>
      </c>
      <c r="K23" s="40">
        <f>I23*J23</f>
        <v>8.64</v>
      </c>
      <c r="L23" s="41">
        <f>I23+K23</f>
        <v>56.64</v>
      </c>
    </row>
    <row r="24" spans="1:14" x14ac:dyDescent="0.3">
      <c r="A24" s="9"/>
      <c r="B24" s="12" t="s">
        <v>35</v>
      </c>
      <c r="C24" s="14" t="s">
        <v>36</v>
      </c>
      <c r="D24" s="14" t="s">
        <v>37</v>
      </c>
      <c r="E24" s="14">
        <v>0.15</v>
      </c>
      <c r="F24" s="41">
        <f>E24*F11</f>
        <v>0.15</v>
      </c>
      <c r="G24" s="14">
        <v>88</v>
      </c>
      <c r="H24" s="37">
        <f>E24*G24</f>
        <v>13.2</v>
      </c>
      <c r="I24" s="38">
        <f>F24*G24</f>
        <v>13.2</v>
      </c>
      <c r="J24" s="39">
        <v>0.18</v>
      </c>
      <c r="K24" s="40">
        <f>I24*J24</f>
        <v>2.3759999999999999</v>
      </c>
      <c r="L24" s="41">
        <f>I24+K24</f>
        <v>15.575999999999999</v>
      </c>
    </row>
    <row r="25" spans="1:14" x14ac:dyDescent="0.3">
      <c r="A25" s="9"/>
      <c r="B25" s="12" t="s">
        <v>38</v>
      </c>
      <c r="C25" s="14" t="s">
        <v>39</v>
      </c>
      <c r="D25" s="14" t="s">
        <v>34</v>
      </c>
      <c r="E25" s="14">
        <v>3.75</v>
      </c>
      <c r="F25" s="41">
        <f>E25*F11</f>
        <v>3.75</v>
      </c>
      <c r="G25" s="14">
        <v>0.6875</v>
      </c>
      <c r="H25" s="37">
        <f>E25*G25</f>
        <v>2.578125</v>
      </c>
      <c r="I25" s="38">
        <f>F25*G25</f>
        <v>2.578125</v>
      </c>
      <c r="J25" s="39">
        <v>0.18</v>
      </c>
      <c r="K25" s="40">
        <f>I25*J25</f>
        <v>0.46406249999999999</v>
      </c>
      <c r="L25" s="41">
        <f>I25+K25</f>
        <v>3.0421874999999998</v>
      </c>
    </row>
    <row r="26" spans="1:14" x14ac:dyDescent="0.3">
      <c r="A26" s="9"/>
      <c r="B26" s="12"/>
      <c r="C26" s="14"/>
      <c r="D26" s="14"/>
      <c r="E26" s="14"/>
      <c r="F26" s="41"/>
      <c r="G26" s="14"/>
      <c r="H26" s="37"/>
      <c r="I26" s="38"/>
      <c r="J26" s="39"/>
      <c r="K26" s="40"/>
      <c r="L26" s="41"/>
    </row>
    <row r="27" spans="1:14" x14ac:dyDescent="0.3">
      <c r="A27" s="9"/>
      <c r="B27" s="12"/>
      <c r="C27" s="14"/>
      <c r="D27" s="14"/>
      <c r="E27" s="14"/>
      <c r="F27" s="41"/>
      <c r="G27" s="14"/>
      <c r="H27" s="12"/>
      <c r="I27" s="41"/>
      <c r="J27" s="39"/>
      <c r="K27" s="41"/>
      <c r="L27" s="41"/>
      <c r="M27" t="s">
        <v>40</v>
      </c>
    </row>
    <row r="28" spans="1:14" x14ac:dyDescent="0.3">
      <c r="A28" s="12" t="s">
        <v>41</v>
      </c>
      <c r="B28" s="22" t="s">
        <v>42</v>
      </c>
      <c r="C28" s="14" t="s">
        <v>36</v>
      </c>
      <c r="D28" s="14" t="s">
        <v>43</v>
      </c>
      <c r="E28" s="14">
        <v>1</v>
      </c>
      <c r="F28" s="12">
        <f>E28*F11</f>
        <v>1</v>
      </c>
      <c r="G28" s="14">
        <v>162</v>
      </c>
      <c r="H28" s="12">
        <f t="shared" ref="H28:H29" si="2">E28*G28</f>
        <v>162</v>
      </c>
      <c r="I28" s="38">
        <f t="shared" ref="I28:I29" si="3">F28*G28</f>
        <v>162</v>
      </c>
      <c r="J28" s="39">
        <v>0.12</v>
      </c>
      <c r="K28" s="40">
        <f t="shared" ref="K28:K29" si="4">I28*J28</f>
        <v>19.439999999999998</v>
      </c>
      <c r="L28" s="41">
        <f t="shared" ref="L28:L29" si="5">I28+K28</f>
        <v>181.44</v>
      </c>
      <c r="M28">
        <v>1.89</v>
      </c>
      <c r="N28">
        <f>M28*85</f>
        <v>160.65</v>
      </c>
    </row>
    <row r="29" spans="1:14" x14ac:dyDescent="0.3">
      <c r="A29" s="12"/>
      <c r="B29" s="22" t="s">
        <v>44</v>
      </c>
      <c r="C29" s="14" t="s">
        <v>36</v>
      </c>
      <c r="D29" s="14" t="s">
        <v>43</v>
      </c>
      <c r="E29" s="14">
        <v>2</v>
      </c>
      <c r="F29" s="12">
        <f>E29*F11</f>
        <v>2</v>
      </c>
      <c r="G29" s="14">
        <v>18</v>
      </c>
      <c r="H29" s="12">
        <f t="shared" si="2"/>
        <v>36</v>
      </c>
      <c r="I29" s="38">
        <f t="shared" si="3"/>
        <v>36</v>
      </c>
      <c r="J29" s="39">
        <v>0.12</v>
      </c>
      <c r="K29" s="40">
        <f t="shared" si="4"/>
        <v>4.32</v>
      </c>
      <c r="L29" s="41">
        <f t="shared" si="5"/>
        <v>40.32</v>
      </c>
      <c r="M29" s="43"/>
    </row>
    <row r="30" spans="1:14" x14ac:dyDescent="0.3">
      <c r="A30" s="12"/>
      <c r="B30" s="22" t="s">
        <v>45</v>
      </c>
      <c r="C30" s="14" t="s">
        <v>36</v>
      </c>
      <c r="D30" s="14" t="s">
        <v>43</v>
      </c>
      <c r="E30" s="14">
        <v>12</v>
      </c>
      <c r="F30" s="12">
        <f>E30*F11</f>
        <v>12</v>
      </c>
      <c r="G30" s="14">
        <v>7.5</v>
      </c>
      <c r="H30" s="12">
        <f t="shared" ref="H30:H32" si="6">E30*G30</f>
        <v>90</v>
      </c>
      <c r="I30" s="38">
        <f t="shared" ref="I30:I32" si="7">F30*G30</f>
        <v>90</v>
      </c>
      <c r="J30" s="39">
        <v>0.12</v>
      </c>
      <c r="K30" s="40">
        <f t="shared" ref="K30:K32" si="8">I30*J30</f>
        <v>10.799999999999999</v>
      </c>
      <c r="L30" s="41">
        <f t="shared" ref="L30:L32" si="9">I30+K30</f>
        <v>100.8</v>
      </c>
    </row>
    <row r="31" spans="1:14" x14ac:dyDescent="0.3">
      <c r="A31" s="12"/>
      <c r="B31" s="22" t="s">
        <v>227</v>
      </c>
      <c r="C31" s="14" t="s">
        <v>36</v>
      </c>
      <c r="D31" s="14" t="s">
        <v>43</v>
      </c>
      <c r="E31" s="14">
        <v>8</v>
      </c>
      <c r="F31" s="12">
        <f>E31*F11</f>
        <v>8</v>
      </c>
      <c r="G31" s="14">
        <v>3.5</v>
      </c>
      <c r="H31" s="12">
        <f t="shared" si="6"/>
        <v>28</v>
      </c>
      <c r="I31" s="38">
        <f t="shared" si="7"/>
        <v>28</v>
      </c>
      <c r="J31" s="39">
        <v>0.12</v>
      </c>
      <c r="K31" s="40">
        <f t="shared" si="8"/>
        <v>3.36</v>
      </c>
      <c r="L31" s="41">
        <f t="shared" si="9"/>
        <v>31.36</v>
      </c>
    </row>
    <row r="32" spans="1:14" x14ac:dyDescent="0.3">
      <c r="A32" s="12"/>
      <c r="B32" s="12" t="s">
        <v>46</v>
      </c>
      <c r="C32" s="14" t="s">
        <v>36</v>
      </c>
      <c r="D32" s="14" t="s">
        <v>43</v>
      </c>
      <c r="E32" s="14">
        <v>1</v>
      </c>
      <c r="F32" s="12">
        <f>E32*F11</f>
        <v>1</v>
      </c>
      <c r="G32" s="14">
        <v>250</v>
      </c>
      <c r="H32" s="37">
        <f t="shared" si="6"/>
        <v>250</v>
      </c>
      <c r="I32" s="38">
        <f t="shared" si="7"/>
        <v>250</v>
      </c>
      <c r="J32" s="39">
        <v>0.12</v>
      </c>
      <c r="K32" s="40">
        <f t="shared" si="8"/>
        <v>30</v>
      </c>
      <c r="L32" s="41">
        <f t="shared" si="9"/>
        <v>280</v>
      </c>
    </row>
    <row r="33" spans="1:12" x14ac:dyDescent="0.3">
      <c r="A33" s="12"/>
      <c r="B33" s="12"/>
      <c r="C33" s="14"/>
      <c r="D33" s="14"/>
      <c r="E33" s="14"/>
      <c r="F33" s="12"/>
      <c r="G33" s="14"/>
      <c r="H33" s="37"/>
      <c r="I33" s="38"/>
      <c r="J33" s="39"/>
      <c r="K33" s="40"/>
      <c r="L33" s="41"/>
    </row>
    <row r="34" spans="1:12" x14ac:dyDescent="0.3">
      <c r="A34" s="12" t="s">
        <v>47</v>
      </c>
      <c r="B34" s="12" t="s">
        <v>48</v>
      </c>
      <c r="C34" s="14" t="s">
        <v>36</v>
      </c>
      <c r="D34" s="14" t="s">
        <v>43</v>
      </c>
      <c r="E34" s="14">
        <v>1</v>
      </c>
      <c r="F34" s="41">
        <f>E34*F11</f>
        <v>1</v>
      </c>
      <c r="G34" s="14">
        <v>12</v>
      </c>
      <c r="H34" s="37">
        <f>E34*G34</f>
        <v>12</v>
      </c>
      <c r="I34" s="38">
        <f>F34*G34</f>
        <v>12</v>
      </c>
      <c r="J34" s="39">
        <v>0.12</v>
      </c>
      <c r="K34" s="40">
        <f>I34*J34</f>
        <v>1.44</v>
      </c>
      <c r="L34" s="41">
        <f>I34+K34</f>
        <v>13.44</v>
      </c>
    </row>
    <row r="35" spans="1:12" x14ac:dyDescent="0.3">
      <c r="A35" s="12"/>
      <c r="B35" s="12" t="s">
        <v>49</v>
      </c>
      <c r="C35" s="14" t="s">
        <v>36</v>
      </c>
      <c r="D35" s="14" t="s">
        <v>43</v>
      </c>
      <c r="E35" s="14">
        <v>1</v>
      </c>
      <c r="F35" s="41">
        <f>E35*F11</f>
        <v>1</v>
      </c>
      <c r="G35" s="14">
        <v>3.5</v>
      </c>
      <c r="H35" s="37">
        <f>E35*G35</f>
        <v>3.5</v>
      </c>
      <c r="I35" s="38">
        <f>F35*G35</f>
        <v>3.5</v>
      </c>
      <c r="J35" s="39">
        <v>0.12</v>
      </c>
      <c r="K35" s="40">
        <f>I35*J35</f>
        <v>0.42</v>
      </c>
      <c r="L35" s="41">
        <f>I35+K35</f>
        <v>3.92</v>
      </c>
    </row>
    <row r="36" spans="1:12" x14ac:dyDescent="0.3">
      <c r="A36" s="9"/>
      <c r="B36" s="12" t="s">
        <v>50</v>
      </c>
      <c r="C36" s="14" t="s">
        <v>36</v>
      </c>
      <c r="D36" s="14" t="s">
        <v>43</v>
      </c>
      <c r="E36" s="14">
        <v>1</v>
      </c>
      <c r="F36" s="41">
        <f>E36*F11</f>
        <v>1</v>
      </c>
      <c r="G36" s="14">
        <v>4</v>
      </c>
      <c r="H36" s="37">
        <v>4</v>
      </c>
      <c r="I36" s="38">
        <f>F36*G36</f>
        <v>4</v>
      </c>
      <c r="J36" s="39">
        <v>0.12</v>
      </c>
      <c r="K36" s="40">
        <f>I36*J36</f>
        <v>0.48</v>
      </c>
      <c r="L36" s="41">
        <f>I36+K36</f>
        <v>4.4800000000000004</v>
      </c>
    </row>
    <row r="37" spans="1:12" x14ac:dyDescent="0.3">
      <c r="A37" s="9"/>
      <c r="B37" s="12"/>
      <c r="C37" s="14"/>
      <c r="D37" s="14"/>
      <c r="E37" s="14"/>
      <c r="F37" s="41"/>
      <c r="G37" s="14"/>
      <c r="H37" s="12"/>
      <c r="I37" s="41"/>
      <c r="J37" s="39"/>
      <c r="K37" s="41"/>
      <c r="L37" s="41"/>
    </row>
    <row r="38" spans="1:12" ht="39.6" x14ac:dyDescent="0.3">
      <c r="A38" s="44" t="s">
        <v>51</v>
      </c>
      <c r="B38" s="21" t="s">
        <v>52</v>
      </c>
      <c r="C38" s="23" t="s">
        <v>36</v>
      </c>
      <c r="D38" s="23" t="s">
        <v>43</v>
      </c>
      <c r="E38" s="23">
        <v>1</v>
      </c>
      <c r="F38" s="45">
        <f>F11*E38</f>
        <v>1</v>
      </c>
      <c r="G38" s="23">
        <v>12</v>
      </c>
      <c r="H38" s="46">
        <f t="shared" ref="H38:H43" si="10">E38*G38</f>
        <v>12</v>
      </c>
      <c r="I38" s="47">
        <f t="shared" ref="I38:I42" si="11">F38*G38</f>
        <v>12</v>
      </c>
      <c r="J38" s="48">
        <v>0.18</v>
      </c>
      <c r="K38" s="49">
        <f t="shared" ref="K38:K43" si="12">I38*J38</f>
        <v>2.16</v>
      </c>
      <c r="L38" s="45">
        <f t="shared" ref="L38:L44" si="13">I38+K38</f>
        <v>14.16</v>
      </c>
    </row>
    <row r="39" spans="1:12" x14ac:dyDescent="0.3">
      <c r="A39" s="12"/>
      <c r="B39" s="12" t="s">
        <v>53</v>
      </c>
      <c r="C39" s="14" t="s">
        <v>36</v>
      </c>
      <c r="D39" s="14" t="s">
        <v>43</v>
      </c>
      <c r="E39" s="14">
        <v>1</v>
      </c>
      <c r="F39" s="41">
        <f>E39*F11</f>
        <v>1</v>
      </c>
      <c r="G39" s="14">
        <v>0</v>
      </c>
      <c r="H39" s="37">
        <f t="shared" si="10"/>
        <v>0</v>
      </c>
      <c r="I39" s="38">
        <f t="shared" si="11"/>
        <v>0</v>
      </c>
      <c r="J39" s="39">
        <v>0.18</v>
      </c>
      <c r="K39" s="40">
        <f t="shared" si="12"/>
        <v>0</v>
      </c>
      <c r="L39" s="41">
        <f t="shared" si="13"/>
        <v>0</v>
      </c>
    </row>
    <row r="40" spans="1:12" x14ac:dyDescent="0.3">
      <c r="A40" s="12"/>
      <c r="B40" s="12" t="s">
        <v>54</v>
      </c>
      <c r="C40" s="14" t="s">
        <v>36</v>
      </c>
      <c r="D40" s="14" t="s">
        <v>55</v>
      </c>
      <c r="E40" s="14">
        <v>1</v>
      </c>
      <c r="F40" s="41">
        <f>E40*F11</f>
        <v>1</v>
      </c>
      <c r="G40" s="14">
        <v>0</v>
      </c>
      <c r="H40" s="37">
        <f t="shared" si="10"/>
        <v>0</v>
      </c>
      <c r="I40" s="38">
        <f t="shared" si="11"/>
        <v>0</v>
      </c>
      <c r="J40" s="39">
        <v>0.18</v>
      </c>
      <c r="K40" s="40">
        <f t="shared" si="12"/>
        <v>0</v>
      </c>
      <c r="L40" s="41">
        <f t="shared" si="13"/>
        <v>0</v>
      </c>
    </row>
    <row r="41" spans="1:12" x14ac:dyDescent="0.3">
      <c r="A41" s="12"/>
      <c r="B41" s="12" t="s">
        <v>56</v>
      </c>
      <c r="C41" s="14" t="s">
        <v>36</v>
      </c>
      <c r="D41" s="14" t="s">
        <v>55</v>
      </c>
      <c r="E41" s="14">
        <v>0.2</v>
      </c>
      <c r="F41" s="41">
        <f>E41*F11</f>
        <v>0.2</v>
      </c>
      <c r="G41" s="14">
        <v>115</v>
      </c>
      <c r="H41" s="37">
        <v>15</v>
      </c>
      <c r="I41" s="38">
        <f>H41*F11</f>
        <v>15</v>
      </c>
      <c r="J41" s="39">
        <v>0.18</v>
      </c>
      <c r="K41" s="40">
        <f t="shared" si="12"/>
        <v>2.6999999999999997</v>
      </c>
      <c r="L41" s="41">
        <f t="shared" si="13"/>
        <v>17.7</v>
      </c>
    </row>
    <row r="42" spans="1:12" x14ac:dyDescent="0.3">
      <c r="A42" s="12"/>
      <c r="B42" s="12" t="s">
        <v>57</v>
      </c>
      <c r="C42" s="14" t="s">
        <v>36</v>
      </c>
      <c r="D42" s="14" t="s">
        <v>58</v>
      </c>
      <c r="E42" s="14">
        <v>2</v>
      </c>
      <c r="F42" s="41">
        <f>E42*F11</f>
        <v>2</v>
      </c>
      <c r="G42" s="14">
        <v>1.35</v>
      </c>
      <c r="H42" s="37">
        <f t="shared" si="10"/>
        <v>2.7</v>
      </c>
      <c r="I42" s="38">
        <f t="shared" si="11"/>
        <v>2.7</v>
      </c>
      <c r="J42" s="39">
        <v>0.18</v>
      </c>
      <c r="K42" s="40">
        <f t="shared" si="12"/>
        <v>0.48599999999999999</v>
      </c>
      <c r="L42" s="41">
        <f t="shared" si="13"/>
        <v>3.1859999999999999</v>
      </c>
    </row>
    <row r="43" spans="1:12" x14ac:dyDescent="0.3">
      <c r="A43" s="12"/>
      <c r="B43" s="12" t="s">
        <v>59</v>
      </c>
      <c r="C43" s="14" t="s">
        <v>36</v>
      </c>
      <c r="D43" s="14" t="s">
        <v>43</v>
      </c>
      <c r="E43" s="14">
        <v>7.0000000000000007E-2</v>
      </c>
      <c r="F43" s="41">
        <f>E43*F11</f>
        <v>7.0000000000000007E-2</v>
      </c>
      <c r="G43" s="14">
        <v>168</v>
      </c>
      <c r="H43" s="37">
        <f t="shared" si="10"/>
        <v>11.760000000000002</v>
      </c>
      <c r="I43" s="38">
        <f>F43*G43</f>
        <v>11.760000000000002</v>
      </c>
      <c r="J43" s="39">
        <v>0.18</v>
      </c>
      <c r="K43" s="40">
        <f t="shared" si="12"/>
        <v>2.1168</v>
      </c>
      <c r="L43" s="41">
        <f t="shared" si="13"/>
        <v>13.876800000000001</v>
      </c>
    </row>
    <row r="44" spans="1:12" x14ac:dyDescent="0.3">
      <c r="A44" s="12"/>
      <c r="B44" s="12" t="s">
        <v>60</v>
      </c>
      <c r="C44" s="14" t="s">
        <v>61</v>
      </c>
      <c r="D44" s="14" t="s">
        <v>62</v>
      </c>
      <c r="E44" s="14">
        <f>0.1</f>
        <v>0.1</v>
      </c>
      <c r="F44" s="41">
        <f>E44*F11</f>
        <v>0.1</v>
      </c>
      <c r="G44" s="14">
        <v>54</v>
      </c>
      <c r="H44" s="37">
        <f>E44*G44</f>
        <v>5.4</v>
      </c>
      <c r="I44" s="38">
        <f>F44*G44</f>
        <v>5.4</v>
      </c>
      <c r="J44" s="39">
        <v>0.18</v>
      </c>
      <c r="K44" s="40">
        <f>I44*J44</f>
        <v>0.97199999999999998</v>
      </c>
      <c r="L44" s="41">
        <f t="shared" si="13"/>
        <v>6.3719999999999999</v>
      </c>
    </row>
    <row r="45" spans="1:12" x14ac:dyDescent="0.3">
      <c r="A45" s="12"/>
      <c r="B45" s="12"/>
      <c r="C45" s="14"/>
      <c r="D45" s="14"/>
      <c r="E45" s="14"/>
      <c r="F45" s="41"/>
      <c r="G45" s="14"/>
      <c r="H45" s="50">
        <f>SUM(H16:H44)</f>
        <v>1362.8781250000002</v>
      </c>
      <c r="I45" s="50">
        <f>SUM(I16:I44)</f>
        <v>1362.8781250000002</v>
      </c>
      <c r="J45" s="51"/>
      <c r="K45" s="52">
        <f>SUM(K16:K44)</f>
        <v>170.18366249999997</v>
      </c>
      <c r="L45" s="53">
        <f>SUM(L16:L44)</f>
        <v>1533.0617875</v>
      </c>
    </row>
    <row r="46" spans="1:12" x14ac:dyDescent="0.3">
      <c r="A46" s="12" t="s">
        <v>63</v>
      </c>
      <c r="B46" s="12" t="s">
        <v>64</v>
      </c>
      <c r="C46" s="15"/>
      <c r="D46" s="14" t="s">
        <v>43</v>
      </c>
      <c r="E46" s="14">
        <f>C46*1%</f>
        <v>0</v>
      </c>
      <c r="F46" s="41">
        <f>F11</f>
        <v>1</v>
      </c>
      <c r="G46" s="14">
        <f>E46</f>
        <v>0</v>
      </c>
      <c r="H46" s="38">
        <f>G46</f>
        <v>0</v>
      </c>
      <c r="I46" s="38">
        <f>H46*F46</f>
        <v>0</v>
      </c>
      <c r="J46" s="39">
        <v>0.18</v>
      </c>
      <c r="K46" s="40">
        <f t="shared" ref="K46:K54" si="14">I46*J46</f>
        <v>0</v>
      </c>
      <c r="L46" s="41">
        <f t="shared" ref="L46:L54" si="15">I46+K46</f>
        <v>0</v>
      </c>
    </row>
    <row r="47" spans="1:12" x14ac:dyDescent="0.3">
      <c r="A47" s="12"/>
      <c r="B47" s="12" t="s">
        <v>65</v>
      </c>
      <c r="C47" s="15"/>
      <c r="D47" s="14" t="s">
        <v>43</v>
      </c>
      <c r="E47" s="14">
        <f>C47*1%</f>
        <v>0</v>
      </c>
      <c r="F47" s="41">
        <f>F11</f>
        <v>1</v>
      </c>
      <c r="G47" s="14">
        <f>E47</f>
        <v>0</v>
      </c>
      <c r="H47" s="38">
        <f>G47</f>
        <v>0</v>
      </c>
      <c r="I47" s="38">
        <f>H47*F47</f>
        <v>0</v>
      </c>
      <c r="J47" s="39">
        <v>0.18</v>
      </c>
      <c r="K47" s="40">
        <f t="shared" si="14"/>
        <v>0</v>
      </c>
      <c r="L47" s="41">
        <f t="shared" si="15"/>
        <v>0</v>
      </c>
    </row>
    <row r="48" spans="1:12" x14ac:dyDescent="0.3">
      <c r="A48" s="12"/>
      <c r="B48" s="12" t="s">
        <v>66</v>
      </c>
      <c r="C48" s="15"/>
      <c r="D48" s="14" t="s">
        <v>43</v>
      </c>
      <c r="E48" s="14">
        <f>C48*5%</f>
        <v>0</v>
      </c>
      <c r="F48" s="41">
        <f>F11</f>
        <v>1</v>
      </c>
      <c r="G48" s="14">
        <f t="shared" ref="G48:G53" si="16">E48</f>
        <v>0</v>
      </c>
      <c r="H48" s="38">
        <f t="shared" ref="H48:H53" si="17">G48</f>
        <v>0</v>
      </c>
      <c r="I48" s="38">
        <f>H48*F48</f>
        <v>0</v>
      </c>
      <c r="J48" s="39"/>
      <c r="K48" s="40">
        <f t="shared" si="14"/>
        <v>0</v>
      </c>
      <c r="L48" s="41">
        <f t="shared" si="15"/>
        <v>0</v>
      </c>
    </row>
    <row r="49" spans="1:12" x14ac:dyDescent="0.3">
      <c r="A49" s="12"/>
      <c r="B49" s="12" t="s">
        <v>67</v>
      </c>
      <c r="C49" s="15"/>
      <c r="D49" s="14" t="s">
        <v>43</v>
      </c>
      <c r="E49" s="14">
        <f>C49*7%</f>
        <v>0</v>
      </c>
      <c r="F49" s="41">
        <f>F11</f>
        <v>1</v>
      </c>
      <c r="G49" s="14">
        <f t="shared" si="16"/>
        <v>0</v>
      </c>
      <c r="H49" s="38">
        <f t="shared" si="17"/>
        <v>0</v>
      </c>
      <c r="I49" s="38">
        <f>H49*F49</f>
        <v>0</v>
      </c>
      <c r="J49" s="12"/>
      <c r="K49" s="40">
        <f t="shared" si="14"/>
        <v>0</v>
      </c>
      <c r="L49" s="41">
        <f t="shared" si="15"/>
        <v>0</v>
      </c>
    </row>
    <row r="50" spans="1:12" x14ac:dyDescent="0.3">
      <c r="A50" s="9" t="s">
        <v>68</v>
      </c>
      <c r="B50" s="12" t="s">
        <v>69</v>
      </c>
      <c r="C50" s="15"/>
      <c r="D50" s="14" t="s">
        <v>43</v>
      </c>
      <c r="E50" s="14">
        <f>C50*2.5%</f>
        <v>0</v>
      </c>
      <c r="F50" s="41">
        <f>F11</f>
        <v>1</v>
      </c>
      <c r="G50" s="14">
        <f t="shared" si="16"/>
        <v>0</v>
      </c>
      <c r="H50" s="38">
        <f t="shared" si="17"/>
        <v>0</v>
      </c>
      <c r="I50" s="38">
        <f t="shared" ref="I50:I54" si="18">H50*F50</f>
        <v>0</v>
      </c>
      <c r="J50" s="12"/>
      <c r="K50" s="40">
        <f t="shared" si="14"/>
        <v>0</v>
      </c>
      <c r="L50" s="41">
        <f t="shared" si="15"/>
        <v>0</v>
      </c>
    </row>
    <row r="51" spans="1:12" x14ac:dyDescent="0.3">
      <c r="A51" s="12"/>
      <c r="B51" s="12" t="s">
        <v>70</v>
      </c>
      <c r="C51" s="15"/>
      <c r="D51" s="14" t="s">
        <v>43</v>
      </c>
      <c r="E51" s="14">
        <f>C51*2%</f>
        <v>0</v>
      </c>
      <c r="F51" s="41">
        <f>F11</f>
        <v>1</v>
      </c>
      <c r="G51" s="14">
        <f t="shared" si="16"/>
        <v>0</v>
      </c>
      <c r="H51" s="38">
        <f t="shared" si="17"/>
        <v>0</v>
      </c>
      <c r="I51" s="38">
        <f t="shared" si="18"/>
        <v>0</v>
      </c>
      <c r="J51" s="12"/>
      <c r="K51" s="40">
        <f t="shared" si="14"/>
        <v>0</v>
      </c>
      <c r="L51" s="41">
        <f t="shared" si="15"/>
        <v>0</v>
      </c>
    </row>
    <row r="52" spans="1:12" x14ac:dyDescent="0.3">
      <c r="A52" s="12"/>
      <c r="B52" s="12" t="s">
        <v>71</v>
      </c>
      <c r="C52" s="15"/>
      <c r="D52" s="14" t="s">
        <v>43</v>
      </c>
      <c r="E52" s="14">
        <v>1000</v>
      </c>
      <c r="F52" s="41">
        <f>F11</f>
        <v>1</v>
      </c>
      <c r="G52" s="14">
        <f t="shared" si="16"/>
        <v>1000</v>
      </c>
      <c r="H52" s="38">
        <f t="shared" si="17"/>
        <v>1000</v>
      </c>
      <c r="I52" s="38">
        <f t="shared" si="18"/>
        <v>1000</v>
      </c>
      <c r="J52" s="12"/>
      <c r="K52" s="40">
        <f t="shared" si="14"/>
        <v>0</v>
      </c>
      <c r="L52" s="41">
        <f t="shared" si="15"/>
        <v>1000</v>
      </c>
    </row>
    <row r="53" spans="1:12" x14ac:dyDescent="0.3">
      <c r="A53" s="12"/>
      <c r="B53" s="12" t="s">
        <v>72</v>
      </c>
      <c r="C53" s="15">
        <f>B59</f>
        <v>7140</v>
      </c>
      <c r="D53" s="14" t="s">
        <v>43</v>
      </c>
      <c r="E53" s="14">
        <f>C53*5%</f>
        <v>357</v>
      </c>
      <c r="F53" s="41">
        <f>F11</f>
        <v>1</v>
      </c>
      <c r="G53" s="14">
        <f t="shared" si="16"/>
        <v>357</v>
      </c>
      <c r="H53" s="38">
        <f t="shared" si="17"/>
        <v>357</v>
      </c>
      <c r="I53" s="38">
        <f t="shared" si="18"/>
        <v>357</v>
      </c>
      <c r="J53" s="12"/>
      <c r="K53" s="40">
        <f t="shared" si="14"/>
        <v>0</v>
      </c>
      <c r="L53" s="41">
        <f t="shared" si="15"/>
        <v>357</v>
      </c>
    </row>
    <row r="54" spans="1:12" x14ac:dyDescent="0.3">
      <c r="A54" s="12" t="s">
        <v>73</v>
      </c>
      <c r="B54" s="54" t="s">
        <v>74</v>
      </c>
      <c r="C54" s="55"/>
      <c r="D54" s="55" t="s">
        <v>43</v>
      </c>
      <c r="E54" s="55">
        <v>420</v>
      </c>
      <c r="F54" s="41">
        <f>F11</f>
        <v>1</v>
      </c>
      <c r="G54" s="55">
        <v>420</v>
      </c>
      <c r="H54" s="56">
        <v>420</v>
      </c>
      <c r="I54" s="38">
        <f t="shared" si="18"/>
        <v>420</v>
      </c>
      <c r="J54" s="54"/>
      <c r="K54" s="57">
        <f t="shared" si="14"/>
        <v>0</v>
      </c>
      <c r="L54" s="58">
        <f t="shared" si="15"/>
        <v>420</v>
      </c>
    </row>
    <row r="55" spans="1:12" x14ac:dyDescent="0.3">
      <c r="A55" s="2"/>
      <c r="B55" s="2"/>
      <c r="C55" s="1"/>
      <c r="D55" s="1"/>
      <c r="E55" s="1"/>
      <c r="F55" s="59">
        <f>F11</f>
        <v>1</v>
      </c>
      <c r="G55" s="1"/>
      <c r="H55" s="59">
        <f>SUM(H45:H54)</f>
        <v>3139.8781250000002</v>
      </c>
      <c r="I55" s="59">
        <f>SUM(I45:I54)</f>
        <v>3139.8781250000002</v>
      </c>
      <c r="J55" s="60"/>
      <c r="K55" s="59">
        <f>SUM(K45:K54)</f>
        <v>170.18366249999997</v>
      </c>
      <c r="L55" s="59">
        <f>SUM(L45:L54)</f>
        <v>3310.0617874999998</v>
      </c>
    </row>
    <row r="56" spans="1:12" x14ac:dyDescent="0.3">
      <c r="A56" s="2"/>
      <c r="B56" s="2"/>
      <c r="C56" s="1"/>
      <c r="D56" s="1"/>
      <c r="E56" s="1"/>
      <c r="F56" s="2"/>
      <c r="G56" s="1"/>
      <c r="H56" s="61"/>
      <c r="I56" s="61"/>
    </row>
    <row r="57" spans="1:12" ht="46.2" customHeight="1" x14ac:dyDescent="0.3">
      <c r="A57" s="2"/>
      <c r="B57" s="2"/>
      <c r="C57" s="1"/>
      <c r="D57" s="1"/>
      <c r="E57" s="1"/>
      <c r="F57" s="2"/>
      <c r="G57" s="62" t="s">
        <v>75</v>
      </c>
      <c r="H57" s="2"/>
      <c r="I57" s="2"/>
      <c r="J57" s="2"/>
      <c r="K57" s="61"/>
      <c r="L57" s="2"/>
    </row>
    <row r="58" spans="1:12" ht="18" x14ac:dyDescent="0.35">
      <c r="A58" s="63" t="s">
        <v>76</v>
      </c>
      <c r="B58" s="64">
        <v>84</v>
      </c>
      <c r="C58" s="122" t="s">
        <v>77</v>
      </c>
      <c r="D58" s="122"/>
      <c r="E58" s="122"/>
      <c r="F58" s="122"/>
      <c r="G58" s="65">
        <f>G13</f>
        <v>4037.5</v>
      </c>
      <c r="H58" s="1"/>
      <c r="I58" s="1"/>
      <c r="J58" s="2"/>
      <c r="K58" s="2"/>
      <c r="L58" s="2"/>
    </row>
    <row r="59" spans="1:12" ht="18" x14ac:dyDescent="0.35">
      <c r="A59" s="63">
        <v>85</v>
      </c>
      <c r="B59" s="63">
        <f>B58*A59</f>
        <v>7140</v>
      </c>
      <c r="C59" s="122" t="s">
        <v>78</v>
      </c>
      <c r="D59" s="122"/>
      <c r="E59" s="122"/>
      <c r="F59" s="122"/>
      <c r="G59" s="65">
        <f>I55/F11</f>
        <v>3139.8781250000002</v>
      </c>
      <c r="H59" s="1"/>
      <c r="I59" s="1"/>
      <c r="J59" s="2"/>
      <c r="K59" s="2"/>
      <c r="L59" s="2"/>
    </row>
    <row r="60" spans="1:12" x14ac:dyDescent="0.3">
      <c r="A60" s="2"/>
      <c r="B60" s="2"/>
      <c r="C60" s="130" t="s">
        <v>79</v>
      </c>
      <c r="D60" s="130"/>
      <c r="E60" s="130"/>
      <c r="F60" s="130"/>
      <c r="G60" s="67">
        <f>SUM(G58:G59)</f>
        <v>7177.3781250000002</v>
      </c>
      <c r="H60" s="1"/>
      <c r="I60" s="1"/>
      <c r="J60" s="2"/>
      <c r="K60" s="2"/>
      <c r="L60" s="2"/>
    </row>
    <row r="61" spans="1:12" ht="14.4" customHeight="1" x14ac:dyDescent="0.35">
      <c r="A61" s="63" t="s">
        <v>76</v>
      </c>
      <c r="B61" s="64">
        <f>H62</f>
        <v>75.551348684210524</v>
      </c>
      <c r="C61" s="2"/>
      <c r="G61" s="1"/>
      <c r="H61" s="1"/>
      <c r="I61" s="1"/>
      <c r="J61" s="2"/>
      <c r="K61" s="2"/>
      <c r="L61" s="2"/>
    </row>
    <row r="62" spans="1:12" ht="14.4" customHeight="1" x14ac:dyDescent="0.35">
      <c r="A62" s="63">
        <v>95</v>
      </c>
      <c r="B62" s="64">
        <f>B61*A62</f>
        <v>7177.3781250000002</v>
      </c>
      <c r="C62" s="2"/>
      <c r="G62" s="68">
        <f>G60/A59</f>
        <v>84.439742647058821</v>
      </c>
      <c r="H62" s="69">
        <f>G60/A62</f>
        <v>75.551348684210524</v>
      </c>
      <c r="I62" s="1"/>
      <c r="J62" s="2"/>
      <c r="K62" s="2"/>
      <c r="L62" s="2"/>
    </row>
    <row r="63" spans="1:12" ht="14.4" customHeight="1" x14ac:dyDescent="0.3">
      <c r="A63" s="108"/>
      <c r="B63" s="109"/>
      <c r="D63" s="70" t="s">
        <v>80</v>
      </c>
      <c r="E63" s="1"/>
      <c r="F63" s="71"/>
      <c r="G63" s="71"/>
      <c r="H63" s="1"/>
      <c r="I63" s="1"/>
      <c r="J63" s="2"/>
      <c r="K63" s="2"/>
      <c r="L63" s="2"/>
    </row>
    <row r="64" spans="1:12" ht="14.4" customHeight="1" x14ac:dyDescent="0.3">
      <c r="A64" s="108"/>
      <c r="B64" s="109"/>
      <c r="D64" s="72" t="s">
        <v>81</v>
      </c>
      <c r="E64" s="73">
        <f>I55/F55</f>
        <v>3139.8781250000002</v>
      </c>
      <c r="F64" s="74" t="s">
        <v>20</v>
      </c>
      <c r="G64" s="71"/>
      <c r="H64" s="1"/>
      <c r="I64" s="1"/>
      <c r="J64" s="2"/>
      <c r="K64" s="2"/>
      <c r="L64" s="2"/>
    </row>
    <row r="65" spans="1:12" x14ac:dyDescent="0.3">
      <c r="A65" s="2"/>
      <c r="B65" s="75"/>
      <c r="C65" s="2"/>
      <c r="D65" s="72" t="s">
        <v>21</v>
      </c>
      <c r="E65" s="73">
        <f>L55/F55</f>
        <v>3310.0617874999998</v>
      </c>
      <c r="F65" s="74" t="s">
        <v>20</v>
      </c>
      <c r="G65" s="71"/>
      <c r="H65" s="1"/>
      <c r="I65" s="1"/>
      <c r="J65" s="2"/>
      <c r="K65" s="2"/>
      <c r="L65" s="2"/>
    </row>
    <row r="66" spans="1:12" x14ac:dyDescent="0.3">
      <c r="A66" s="2"/>
      <c r="B66" s="2"/>
      <c r="C66" s="1"/>
      <c r="D66" s="76"/>
      <c r="E66" s="71"/>
      <c r="F66" s="71"/>
      <c r="G66" s="1"/>
      <c r="H66" s="2"/>
      <c r="I66" s="2"/>
      <c r="J66" s="2"/>
      <c r="K66" s="2"/>
      <c r="L66" s="2"/>
    </row>
    <row r="67" spans="1:12" x14ac:dyDescent="0.3">
      <c r="D67" s="77" t="s">
        <v>21</v>
      </c>
      <c r="E67" s="78"/>
      <c r="F67" s="79" t="s">
        <v>19</v>
      </c>
    </row>
    <row r="68" spans="1:12" x14ac:dyDescent="0.3">
      <c r="B68" s="122" t="s">
        <v>82</v>
      </c>
      <c r="C68" s="122"/>
      <c r="D68" s="65">
        <f>G14</f>
        <v>4522</v>
      </c>
      <c r="E68" s="75"/>
      <c r="F68" s="80">
        <f>G13</f>
        <v>4037.5</v>
      </c>
    </row>
    <row r="69" spans="1:12" x14ac:dyDescent="0.3">
      <c r="B69" s="124" t="s">
        <v>83</v>
      </c>
      <c r="C69" s="125"/>
      <c r="D69" s="65">
        <f>E65</f>
        <v>3310.0617874999998</v>
      </c>
      <c r="E69" s="75"/>
      <c r="F69" s="80">
        <f>E64</f>
        <v>3139.8781250000002</v>
      </c>
    </row>
    <row r="70" spans="1:12" x14ac:dyDescent="0.3">
      <c r="B70" s="66" t="s">
        <v>79</v>
      </c>
      <c r="C70" s="66"/>
      <c r="D70" s="67">
        <f>SUM(D68:D69)</f>
        <v>7832.0617874999998</v>
      </c>
      <c r="E70" s="78"/>
      <c r="F70" s="81">
        <f>SUM(F68:F69)</f>
        <v>7177.3781250000002</v>
      </c>
    </row>
    <row r="71" spans="1:12" x14ac:dyDescent="0.3">
      <c r="D71" s="82"/>
      <c r="E71" s="1"/>
      <c r="F71" s="71"/>
    </row>
    <row r="72" spans="1:12" x14ac:dyDescent="0.3">
      <c r="D72" s="68">
        <f>D70/A59</f>
        <v>92.141903382352936</v>
      </c>
      <c r="E72" s="1"/>
      <c r="F72" s="68">
        <f>F70/A59</f>
        <v>84.439742647058821</v>
      </c>
    </row>
    <row r="79" spans="1:12" x14ac:dyDescent="0.3">
      <c r="D79" s="43"/>
    </row>
    <row r="80" spans="1:12" x14ac:dyDescent="0.3">
      <c r="D80" s="43"/>
    </row>
    <row r="81" spans="4:4" x14ac:dyDescent="0.3">
      <c r="D81" s="43"/>
    </row>
    <row r="82" spans="4:4" x14ac:dyDescent="0.3">
      <c r="D82" s="43"/>
    </row>
    <row r="83" spans="4:4" x14ac:dyDescent="0.3">
      <c r="D83" s="43"/>
    </row>
  </sheetData>
  <mergeCells count="13">
    <mergeCell ref="L7:L8"/>
    <mergeCell ref="A1:F1"/>
    <mergeCell ref="A2:F2"/>
    <mergeCell ref="A3:F3"/>
    <mergeCell ref="A5:F5"/>
    <mergeCell ref="J7:K7"/>
    <mergeCell ref="B68:C68"/>
    <mergeCell ref="B69:C69"/>
    <mergeCell ref="D13:E13"/>
    <mergeCell ref="D14:E14"/>
    <mergeCell ref="C58:F58"/>
    <mergeCell ref="C59:F59"/>
    <mergeCell ref="C60:F60"/>
  </mergeCells>
  <pageMargins left="0.11811023622047245" right="0.11811023622047245" top="0.15748031496062992" bottom="0.15748031496062992" header="0.31496062992125984" footer="0.31496062992125984"/>
  <pageSetup paperSize="9" scale="95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2593-E723-47C9-88F1-29F2AD3E955F}">
  <dimension ref="A1:N86"/>
  <sheetViews>
    <sheetView topLeftCell="A28" workbookViewId="0">
      <selection activeCell="A28" sqref="A1:XFD1048576"/>
    </sheetView>
  </sheetViews>
  <sheetFormatPr defaultRowHeight="14.4" x14ac:dyDescent="0.3"/>
  <cols>
    <col min="1" max="1" width="9.6640625" bestFit="1" customWidth="1"/>
    <col min="2" max="2" width="41.21875" bestFit="1" customWidth="1"/>
    <col min="3" max="3" width="15" bestFit="1" customWidth="1"/>
    <col min="4" max="4" width="10.33203125" bestFit="1" customWidth="1"/>
    <col min="5" max="5" width="7.5546875" bestFit="1" customWidth="1"/>
    <col min="6" max="6" width="8.5546875" bestFit="1" customWidth="1"/>
    <col min="7" max="7" width="9.109375" style="43" bestFit="1" customWidth="1"/>
    <col min="8" max="8" width="8" bestFit="1" customWidth="1"/>
    <col min="9" max="9" width="10.44140625" bestFit="1" customWidth="1"/>
    <col min="10" max="10" width="5.44140625" bestFit="1" customWidth="1"/>
    <col min="11" max="11" width="9.44140625" bestFit="1" customWidth="1"/>
    <col min="12" max="12" width="10.44140625" bestFit="1" customWidth="1"/>
    <col min="13" max="13" width="5" bestFit="1" customWidth="1"/>
    <col min="14" max="14" width="7" bestFit="1" customWidth="1"/>
  </cols>
  <sheetData>
    <row r="1" spans="1:12" x14ac:dyDescent="0.3">
      <c r="A1" s="114" t="s">
        <v>0</v>
      </c>
      <c r="B1" s="115"/>
      <c r="C1" s="115"/>
      <c r="D1" s="115"/>
      <c r="E1" s="115"/>
      <c r="F1" s="115"/>
      <c r="G1" s="1"/>
      <c r="H1" s="2"/>
      <c r="I1" s="2"/>
      <c r="J1" s="2"/>
      <c r="K1" s="2"/>
      <c r="L1" s="2"/>
    </row>
    <row r="2" spans="1:12" x14ac:dyDescent="0.3">
      <c r="A2" s="114" t="s">
        <v>1</v>
      </c>
      <c r="B2" s="115"/>
      <c r="C2" s="115"/>
      <c r="D2" s="115"/>
      <c r="E2" s="115"/>
      <c r="F2" s="115"/>
      <c r="G2" s="1"/>
      <c r="H2" s="2"/>
      <c r="I2" s="2"/>
      <c r="J2" s="2"/>
      <c r="K2" s="2"/>
      <c r="L2" s="2"/>
    </row>
    <row r="3" spans="1:12" ht="18" x14ac:dyDescent="0.35">
      <c r="A3" s="116" t="s">
        <v>87</v>
      </c>
      <c r="B3" s="116"/>
      <c r="C3" s="116"/>
      <c r="D3" s="116"/>
      <c r="E3" s="116"/>
      <c r="F3" s="116"/>
      <c r="G3" s="3"/>
      <c r="H3" s="4"/>
      <c r="I3" s="4"/>
      <c r="J3" s="4"/>
      <c r="K3" s="4"/>
      <c r="L3" s="4"/>
    </row>
    <row r="4" spans="1:12" x14ac:dyDescent="0.3">
      <c r="G4" s="1"/>
      <c r="H4" s="2"/>
      <c r="I4" s="2"/>
      <c r="J4" s="2"/>
      <c r="K4" s="2"/>
      <c r="L4" s="2"/>
    </row>
    <row r="5" spans="1:12" ht="21" x14ac:dyDescent="0.4">
      <c r="A5" s="128" t="s">
        <v>2</v>
      </c>
      <c r="B5" s="129"/>
      <c r="C5" s="129"/>
      <c r="D5" s="129"/>
      <c r="E5" s="129"/>
      <c r="F5" s="129"/>
      <c r="G5" s="1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1"/>
      <c r="H6" s="2"/>
      <c r="I6" s="2"/>
      <c r="J6" s="2"/>
      <c r="K6" s="2"/>
      <c r="L6" s="2"/>
    </row>
    <row r="7" spans="1:12" ht="24" x14ac:dyDescent="0.3">
      <c r="A7" s="5" t="s">
        <v>3</v>
      </c>
      <c r="B7" s="6" t="s">
        <v>4</v>
      </c>
      <c r="C7" s="7" t="s">
        <v>5</v>
      </c>
      <c r="D7" s="7" t="s">
        <v>6</v>
      </c>
      <c r="E7" s="7" t="s">
        <v>7</v>
      </c>
      <c r="F7" s="6" t="s">
        <v>8</v>
      </c>
      <c r="G7" s="7" t="s">
        <v>9</v>
      </c>
      <c r="H7" s="8" t="s">
        <v>10</v>
      </c>
      <c r="I7" s="7" t="s">
        <v>11</v>
      </c>
      <c r="J7" s="117" t="s">
        <v>12</v>
      </c>
      <c r="K7" s="118"/>
      <c r="L7" s="119" t="s">
        <v>13</v>
      </c>
    </row>
    <row r="8" spans="1:12" x14ac:dyDescent="0.3">
      <c r="A8" s="9" t="s">
        <v>14</v>
      </c>
      <c r="B8" s="9"/>
      <c r="C8" s="10"/>
      <c r="D8" s="10"/>
      <c r="E8" s="10"/>
      <c r="F8" s="9"/>
      <c r="G8" s="10"/>
      <c r="H8" s="10"/>
      <c r="I8" s="10"/>
      <c r="J8" s="10" t="s">
        <v>15</v>
      </c>
      <c r="K8" s="11" t="s">
        <v>11</v>
      </c>
      <c r="L8" s="119"/>
    </row>
    <row r="9" spans="1:12" x14ac:dyDescent="0.3">
      <c r="A9" s="12"/>
      <c r="B9" s="13" t="s">
        <v>140</v>
      </c>
      <c r="C9" s="20" t="s">
        <v>89</v>
      </c>
      <c r="D9" s="14" t="s">
        <v>17</v>
      </c>
      <c r="E9" s="15">
        <v>410</v>
      </c>
      <c r="F9" s="15">
        <v>410</v>
      </c>
      <c r="G9" s="14">
        <v>9.5</v>
      </c>
      <c r="H9" s="16">
        <f>F9*G9</f>
        <v>3895</v>
      </c>
      <c r="I9" s="17">
        <f>F9*G9</f>
        <v>3895</v>
      </c>
      <c r="J9" s="18">
        <v>0.12</v>
      </c>
      <c r="K9" s="19">
        <f>I9*J9</f>
        <v>467.4</v>
      </c>
      <c r="L9" s="15">
        <f>I9+K9</f>
        <v>4362.3999999999996</v>
      </c>
    </row>
    <row r="10" spans="1:12" x14ac:dyDescent="0.3">
      <c r="A10" s="12"/>
      <c r="B10" s="13"/>
      <c r="C10" s="20"/>
      <c r="D10" s="14"/>
      <c r="E10" s="15"/>
      <c r="F10" s="15"/>
      <c r="G10" s="14"/>
      <c r="H10" s="16"/>
      <c r="I10" s="17"/>
      <c r="J10" s="18"/>
      <c r="K10" s="19"/>
      <c r="L10" s="15"/>
    </row>
    <row r="11" spans="1:12" ht="18" x14ac:dyDescent="0.3">
      <c r="A11" s="21"/>
      <c r="B11" s="13" t="s">
        <v>88</v>
      </c>
      <c r="C11" s="22"/>
      <c r="D11" s="22"/>
      <c r="E11" s="23"/>
      <c r="F11" s="24">
        <v>1</v>
      </c>
      <c r="G11" s="23"/>
      <c r="H11" s="25">
        <f>SUM(H9:H9)</f>
        <v>3895</v>
      </c>
      <c r="I11" s="26">
        <f>SUM(I9:I9)</f>
        <v>3895</v>
      </c>
      <c r="J11" s="27"/>
      <c r="K11" s="28">
        <f>SUM(K9:K9)</f>
        <v>467.4</v>
      </c>
      <c r="L11" s="29">
        <f>SUM(L9:L9)</f>
        <v>4362.3999999999996</v>
      </c>
    </row>
    <row r="12" spans="1:12" x14ac:dyDescent="0.3">
      <c r="A12" s="21"/>
      <c r="B12" s="21"/>
      <c r="C12" s="23"/>
      <c r="D12" s="30"/>
      <c r="E12" s="31"/>
      <c r="F12" s="32"/>
      <c r="G12" s="23"/>
      <c r="H12" s="25"/>
      <c r="I12" s="26"/>
      <c r="J12" s="27"/>
      <c r="K12" s="28"/>
      <c r="L12" s="29"/>
    </row>
    <row r="13" spans="1:12" x14ac:dyDescent="0.3">
      <c r="A13" s="12"/>
      <c r="B13" s="12"/>
      <c r="C13" s="14"/>
      <c r="D13" s="120" t="s">
        <v>19</v>
      </c>
      <c r="E13" s="121"/>
      <c r="F13" s="35" t="s">
        <v>20</v>
      </c>
      <c r="G13" s="36">
        <f>I11/F11</f>
        <v>3895</v>
      </c>
      <c r="H13" s="37"/>
      <c r="I13" s="38"/>
      <c r="J13" s="39"/>
      <c r="K13" s="40"/>
      <c r="L13" s="41"/>
    </row>
    <row r="14" spans="1:12" x14ac:dyDescent="0.3">
      <c r="A14" s="12"/>
      <c r="B14" s="12"/>
      <c r="C14" s="14"/>
      <c r="D14" s="120" t="s">
        <v>21</v>
      </c>
      <c r="E14" s="121"/>
      <c r="F14" s="35" t="s">
        <v>20</v>
      </c>
      <c r="G14" s="36">
        <f>L11/F11</f>
        <v>4362.3999999999996</v>
      </c>
      <c r="H14" s="37"/>
      <c r="I14" s="38"/>
      <c r="J14" s="39"/>
      <c r="K14" s="40"/>
      <c r="L14" s="41"/>
    </row>
    <row r="15" spans="1:12" x14ac:dyDescent="0.3">
      <c r="A15" s="12"/>
      <c r="B15" s="12"/>
      <c r="C15" s="14"/>
      <c r="D15" s="33"/>
      <c r="E15" s="34"/>
      <c r="F15" s="35"/>
      <c r="G15" s="36"/>
      <c r="H15" s="37"/>
      <c r="I15" s="38"/>
      <c r="J15" s="39"/>
      <c r="K15" s="40"/>
      <c r="L15" s="41"/>
    </row>
    <row r="16" spans="1:12" x14ac:dyDescent="0.3">
      <c r="A16" s="9" t="s">
        <v>22</v>
      </c>
      <c r="B16" s="42" t="s">
        <v>23</v>
      </c>
      <c r="C16" s="14" t="str">
        <f>C9</f>
        <v>FOREST</v>
      </c>
      <c r="D16" s="14" t="s">
        <v>24</v>
      </c>
      <c r="E16" s="14">
        <v>1</v>
      </c>
      <c r="F16" s="41">
        <f>E16*F11</f>
        <v>1</v>
      </c>
      <c r="G16" s="14">
        <v>52</v>
      </c>
      <c r="H16" s="37">
        <f>E16*G16</f>
        <v>52</v>
      </c>
      <c r="I16" s="38">
        <f>F16*G16</f>
        <v>52</v>
      </c>
      <c r="J16" s="39">
        <v>0.12</v>
      </c>
      <c r="K16" s="40">
        <f>I16*J16</f>
        <v>6.24</v>
      </c>
      <c r="L16" s="41">
        <f>I16+K16</f>
        <v>58.24</v>
      </c>
    </row>
    <row r="17" spans="1:14" x14ac:dyDescent="0.3">
      <c r="A17" s="9"/>
      <c r="B17" s="42" t="s">
        <v>90</v>
      </c>
      <c r="C17" s="14" t="str">
        <f>C9</f>
        <v>FOREST</v>
      </c>
      <c r="D17" s="14" t="s">
        <v>24</v>
      </c>
      <c r="E17" s="14">
        <v>3</v>
      </c>
      <c r="F17" s="41">
        <f>E17*F11</f>
        <v>3</v>
      </c>
      <c r="G17" s="14">
        <v>45</v>
      </c>
      <c r="H17" s="37">
        <f>E17*G17</f>
        <v>135</v>
      </c>
      <c r="I17" s="38">
        <f>F17*G17</f>
        <v>135</v>
      </c>
      <c r="J17" s="39">
        <v>0.12</v>
      </c>
      <c r="K17" s="40">
        <f>I17*J17</f>
        <v>16.2</v>
      </c>
      <c r="L17" s="41">
        <f>I17+K17</f>
        <v>151.19999999999999</v>
      </c>
    </row>
    <row r="18" spans="1:14" x14ac:dyDescent="0.3">
      <c r="A18" s="9"/>
      <c r="B18" s="42"/>
      <c r="C18" s="14"/>
      <c r="D18" s="14"/>
      <c r="E18" s="14"/>
      <c r="F18" s="41"/>
      <c r="G18" s="14"/>
      <c r="H18" s="37"/>
      <c r="I18" s="38"/>
      <c r="J18" s="39"/>
      <c r="K18" s="40"/>
      <c r="L18" s="41"/>
    </row>
    <row r="19" spans="1:14" x14ac:dyDescent="0.3">
      <c r="A19" s="9" t="s">
        <v>26</v>
      </c>
      <c r="B19" s="12" t="s">
        <v>27</v>
      </c>
      <c r="C19" s="14" t="str">
        <f>C9</f>
        <v>FOREST</v>
      </c>
      <c r="D19" s="14" t="s">
        <v>28</v>
      </c>
      <c r="E19" s="14">
        <v>100</v>
      </c>
      <c r="F19" s="41">
        <f>E19*F11</f>
        <v>100</v>
      </c>
      <c r="G19" s="14">
        <v>125</v>
      </c>
      <c r="H19" s="37">
        <f>F19/1000*G19/F11</f>
        <v>12.5</v>
      </c>
      <c r="I19" s="38">
        <f>F19/1000*G19</f>
        <v>12.5</v>
      </c>
      <c r="J19" s="39">
        <v>0.12</v>
      </c>
      <c r="K19" s="40">
        <f>I19*J19</f>
        <v>1.5</v>
      </c>
      <c r="L19" s="41">
        <f>I19+K19</f>
        <v>14</v>
      </c>
    </row>
    <row r="20" spans="1:14" x14ac:dyDescent="0.3">
      <c r="A20" s="9"/>
      <c r="B20" s="12" t="s">
        <v>29</v>
      </c>
      <c r="C20" s="14" t="str">
        <f>C9</f>
        <v>FOREST</v>
      </c>
      <c r="D20" s="14" t="s">
        <v>28</v>
      </c>
      <c r="E20" s="14">
        <v>100</v>
      </c>
      <c r="F20" s="41">
        <f>E20*F11</f>
        <v>100</v>
      </c>
      <c r="G20" s="14">
        <v>257</v>
      </c>
      <c r="H20" s="37">
        <f>F20/5000*G20/F11</f>
        <v>5.14</v>
      </c>
      <c r="I20" s="38">
        <f>H20*F11</f>
        <v>5.14</v>
      </c>
      <c r="J20" s="39">
        <v>0.12</v>
      </c>
      <c r="K20" s="40">
        <f>I20*J20</f>
        <v>0.6167999999999999</v>
      </c>
      <c r="L20" s="41">
        <f>I20+K20</f>
        <v>5.7567999999999993</v>
      </c>
    </row>
    <row r="21" spans="1:14" x14ac:dyDescent="0.3">
      <c r="A21" s="9"/>
      <c r="B21" s="12" t="s">
        <v>30</v>
      </c>
      <c r="C21" s="14" t="str">
        <f>C9</f>
        <v>FOREST</v>
      </c>
      <c r="D21" s="14" t="s">
        <v>28</v>
      </c>
      <c r="E21" s="14">
        <v>50</v>
      </c>
      <c r="F21" s="41">
        <f>E21*F11</f>
        <v>50</v>
      </c>
      <c r="G21" s="14">
        <v>162</v>
      </c>
      <c r="H21" s="37">
        <f>F21/1000*G21/F11</f>
        <v>8.1</v>
      </c>
      <c r="I21" s="38">
        <f>F21/1000*G21</f>
        <v>8.1</v>
      </c>
      <c r="J21" s="39">
        <v>0.12</v>
      </c>
      <c r="K21" s="40">
        <f>I21*J21</f>
        <v>0.97199999999999998</v>
      </c>
      <c r="L21" s="41">
        <f>I21+K21</f>
        <v>9.0719999999999992</v>
      </c>
    </row>
    <row r="22" spans="1:14" x14ac:dyDescent="0.3">
      <c r="A22" s="9"/>
      <c r="B22" s="12"/>
      <c r="C22" s="14"/>
      <c r="D22" s="14"/>
      <c r="E22" s="14"/>
      <c r="F22" s="41"/>
      <c r="G22" s="14"/>
      <c r="H22" s="37"/>
      <c r="I22" s="38"/>
      <c r="J22" s="39"/>
      <c r="K22" s="40"/>
      <c r="L22" s="41"/>
    </row>
    <row r="23" spans="1:14" x14ac:dyDescent="0.3">
      <c r="A23" s="9" t="s">
        <v>31</v>
      </c>
      <c r="B23" s="12" t="s">
        <v>32</v>
      </c>
      <c r="C23" s="14" t="s">
        <v>33</v>
      </c>
      <c r="D23" s="14" t="s">
        <v>34</v>
      </c>
      <c r="E23" s="14">
        <v>1.5</v>
      </c>
      <c r="F23" s="41">
        <f>E23*F11</f>
        <v>1.5</v>
      </c>
      <c r="G23" s="14">
        <v>32</v>
      </c>
      <c r="H23" s="37">
        <f>E23*G23</f>
        <v>48</v>
      </c>
      <c r="I23" s="38">
        <f>F23*G23</f>
        <v>48</v>
      </c>
      <c r="J23" s="39">
        <v>0.18</v>
      </c>
      <c r="K23" s="40">
        <f>I23*J23</f>
        <v>8.64</v>
      </c>
      <c r="L23" s="41">
        <f>I23+K23</f>
        <v>56.64</v>
      </c>
    </row>
    <row r="24" spans="1:14" x14ac:dyDescent="0.3">
      <c r="A24" s="9"/>
      <c r="B24" s="12" t="s">
        <v>35</v>
      </c>
      <c r="C24" s="14" t="s">
        <v>36</v>
      </c>
      <c r="D24" s="14" t="s">
        <v>37</v>
      </c>
      <c r="E24" s="14">
        <v>0.15</v>
      </c>
      <c r="F24" s="41">
        <f>E24*F11</f>
        <v>0.15</v>
      </c>
      <c r="G24" s="14">
        <v>88</v>
      </c>
      <c r="H24" s="37">
        <f>E24*G24</f>
        <v>13.2</v>
      </c>
      <c r="I24" s="38">
        <f>F24*G24</f>
        <v>13.2</v>
      </c>
      <c r="J24" s="39">
        <v>0.18</v>
      </c>
      <c r="K24" s="40">
        <f>I24*J24</f>
        <v>2.3759999999999999</v>
      </c>
      <c r="L24" s="41">
        <f>I24+K24</f>
        <v>15.575999999999999</v>
      </c>
    </row>
    <row r="25" spans="1:14" x14ac:dyDescent="0.3">
      <c r="A25" s="9"/>
      <c r="B25" s="12" t="s">
        <v>38</v>
      </c>
      <c r="C25" s="14" t="s">
        <v>39</v>
      </c>
      <c r="D25" s="14" t="s">
        <v>34</v>
      </c>
      <c r="E25" s="14">
        <v>3.75</v>
      </c>
      <c r="F25" s="41">
        <f>E25*F11</f>
        <v>3.75</v>
      </c>
      <c r="G25" s="14">
        <v>0.6875</v>
      </c>
      <c r="H25" s="37">
        <f>E25*G25</f>
        <v>2.578125</v>
      </c>
      <c r="I25" s="38">
        <f>F25*G25</f>
        <v>2.578125</v>
      </c>
      <c r="J25" s="39">
        <v>0.18</v>
      </c>
      <c r="K25" s="40">
        <f>I25*J25</f>
        <v>0.46406249999999999</v>
      </c>
      <c r="L25" s="41">
        <f>I25+K25</f>
        <v>3.0421874999999998</v>
      </c>
    </row>
    <row r="26" spans="1:14" x14ac:dyDescent="0.3">
      <c r="A26" s="9"/>
      <c r="B26" s="12"/>
      <c r="C26" s="14"/>
      <c r="D26" s="14"/>
      <c r="E26" s="14"/>
      <c r="F26" s="41"/>
      <c r="G26" s="14"/>
      <c r="H26" s="37"/>
      <c r="I26" s="38"/>
      <c r="J26" s="39"/>
      <c r="K26" s="40"/>
      <c r="L26" s="41"/>
    </row>
    <row r="27" spans="1:14" x14ac:dyDescent="0.3">
      <c r="A27" s="9"/>
      <c r="B27" s="12"/>
      <c r="C27" s="14"/>
      <c r="D27" s="14"/>
      <c r="E27" s="14"/>
      <c r="F27" s="41"/>
      <c r="G27" s="14"/>
      <c r="H27" s="12"/>
      <c r="I27" s="41"/>
      <c r="J27" s="39"/>
      <c r="K27" s="41"/>
      <c r="L27" s="41"/>
      <c r="M27" t="s">
        <v>40</v>
      </c>
    </row>
    <row r="28" spans="1:14" x14ac:dyDescent="0.3">
      <c r="A28" s="12" t="s">
        <v>41</v>
      </c>
      <c r="B28" s="22" t="s">
        <v>42</v>
      </c>
      <c r="C28" s="14" t="s">
        <v>36</v>
      </c>
      <c r="D28" s="14" t="s">
        <v>43</v>
      </c>
      <c r="E28" s="14">
        <v>1</v>
      </c>
      <c r="F28" s="12">
        <f>E28*F11</f>
        <v>1</v>
      </c>
      <c r="G28" s="14">
        <v>165</v>
      </c>
      <c r="H28" s="12">
        <f t="shared" ref="H28:H31" si="0">E28*G28</f>
        <v>165</v>
      </c>
      <c r="I28" s="38">
        <f t="shared" ref="I28:I31" si="1">F28*G28</f>
        <v>165</v>
      </c>
      <c r="J28" s="39">
        <v>0.12</v>
      </c>
      <c r="K28" s="40">
        <f t="shared" ref="K28:K31" si="2">I28*J28</f>
        <v>19.8</v>
      </c>
      <c r="L28" s="41">
        <f t="shared" ref="L28:L31" si="3">I28+K28</f>
        <v>184.8</v>
      </c>
      <c r="M28">
        <v>1.89</v>
      </c>
      <c r="N28">
        <f>M28*85</f>
        <v>160.65</v>
      </c>
    </row>
    <row r="29" spans="1:14" x14ac:dyDescent="0.3">
      <c r="A29" s="12"/>
      <c r="B29" s="22" t="s">
        <v>226</v>
      </c>
      <c r="C29" s="14" t="s">
        <v>36</v>
      </c>
      <c r="D29" s="14" t="s">
        <v>43</v>
      </c>
      <c r="E29" s="14">
        <v>20</v>
      </c>
      <c r="F29" s="12">
        <f>E29*F6</f>
        <v>0</v>
      </c>
      <c r="G29" s="14">
        <v>7.5</v>
      </c>
      <c r="H29" s="12">
        <f t="shared" si="0"/>
        <v>150</v>
      </c>
      <c r="I29" s="38">
        <f t="shared" si="1"/>
        <v>0</v>
      </c>
      <c r="J29" s="39">
        <v>0.12</v>
      </c>
      <c r="K29" s="40">
        <f t="shared" si="2"/>
        <v>0</v>
      </c>
      <c r="L29" s="41">
        <f t="shared" si="3"/>
        <v>0</v>
      </c>
    </row>
    <row r="30" spans="1:14" x14ac:dyDescent="0.3">
      <c r="A30" s="12"/>
      <c r="B30" s="22" t="s">
        <v>227</v>
      </c>
      <c r="C30" s="14" t="s">
        <v>36</v>
      </c>
      <c r="D30" s="14" t="s">
        <v>43</v>
      </c>
      <c r="E30" s="14">
        <v>8</v>
      </c>
      <c r="F30" s="12">
        <f>E30*F11</f>
        <v>8</v>
      </c>
      <c r="G30" s="14">
        <v>3.5</v>
      </c>
      <c r="H30" s="12">
        <f t="shared" ref="H30" si="4">E30*G30</f>
        <v>28</v>
      </c>
      <c r="I30" s="38">
        <f t="shared" ref="I30" si="5">F30*G30</f>
        <v>28</v>
      </c>
      <c r="J30" s="39">
        <v>0.12</v>
      </c>
      <c r="K30" s="40">
        <f t="shared" ref="K30" si="6">I30*J30</f>
        <v>3.36</v>
      </c>
      <c r="L30" s="41">
        <f t="shared" ref="L30" si="7">I30+K30</f>
        <v>31.36</v>
      </c>
    </row>
    <row r="31" spans="1:14" x14ac:dyDescent="0.3">
      <c r="A31" s="12"/>
      <c r="B31" s="22" t="s">
        <v>44</v>
      </c>
      <c r="C31" s="14" t="s">
        <v>36</v>
      </c>
      <c r="D31" s="14" t="s">
        <v>43</v>
      </c>
      <c r="E31" s="14">
        <v>2</v>
      </c>
      <c r="F31" s="12">
        <f>E31*F11</f>
        <v>2</v>
      </c>
      <c r="G31" s="14">
        <v>18</v>
      </c>
      <c r="H31" s="12">
        <f t="shared" si="0"/>
        <v>36</v>
      </c>
      <c r="I31" s="38">
        <f t="shared" si="1"/>
        <v>36</v>
      </c>
      <c r="J31" s="39">
        <v>0.12</v>
      </c>
      <c r="K31" s="40">
        <f t="shared" si="2"/>
        <v>4.32</v>
      </c>
      <c r="L31" s="41">
        <f t="shared" si="3"/>
        <v>40.32</v>
      </c>
      <c r="M31" s="43">
        <v>253</v>
      </c>
    </row>
    <row r="32" spans="1:14" x14ac:dyDescent="0.3">
      <c r="A32" s="12"/>
      <c r="B32" s="22" t="s">
        <v>228</v>
      </c>
      <c r="C32" s="14" t="s">
        <v>36</v>
      </c>
      <c r="D32" s="14" t="s">
        <v>34</v>
      </c>
      <c r="E32" s="14">
        <v>0.15</v>
      </c>
      <c r="F32" s="12">
        <f>E32*F11</f>
        <v>0.15</v>
      </c>
      <c r="G32" s="14">
        <v>40</v>
      </c>
      <c r="H32" s="12">
        <f t="shared" ref="H32" si="8">E32*G32</f>
        <v>6</v>
      </c>
      <c r="I32" s="38">
        <f t="shared" ref="I32" si="9">F32*G32</f>
        <v>6</v>
      </c>
      <c r="J32" s="39">
        <v>0.12</v>
      </c>
      <c r="K32" s="40">
        <f t="shared" ref="K32" si="10">I32*J32</f>
        <v>0.72</v>
      </c>
      <c r="L32" s="41">
        <f t="shared" ref="L32" si="11">I32+K32</f>
        <v>6.72</v>
      </c>
    </row>
    <row r="33" spans="1:12" x14ac:dyDescent="0.3">
      <c r="A33" s="12"/>
      <c r="B33" s="22" t="s">
        <v>45</v>
      </c>
      <c r="C33" s="14" t="s">
        <v>36</v>
      </c>
      <c r="D33" s="14" t="s">
        <v>43</v>
      </c>
      <c r="E33" s="14">
        <v>17</v>
      </c>
      <c r="F33" s="12">
        <f>E33*F11</f>
        <v>17</v>
      </c>
      <c r="G33" s="14">
        <v>7.5</v>
      </c>
      <c r="H33" s="12">
        <f t="shared" ref="H33:H35" si="12">E33*G33</f>
        <v>127.5</v>
      </c>
      <c r="I33" s="38">
        <f t="shared" ref="I33:I35" si="13">F33*G33</f>
        <v>127.5</v>
      </c>
      <c r="J33" s="39">
        <v>0.12</v>
      </c>
      <c r="K33" s="40">
        <f t="shared" ref="K33:K35" si="14">I33*J33</f>
        <v>15.299999999999999</v>
      </c>
      <c r="L33" s="41">
        <f t="shared" ref="L33:L35" si="15">I33+K33</f>
        <v>142.80000000000001</v>
      </c>
    </row>
    <row r="34" spans="1:12" x14ac:dyDescent="0.3">
      <c r="A34" s="12"/>
      <c r="B34" s="12"/>
      <c r="C34" s="14"/>
      <c r="D34" s="14"/>
      <c r="E34" s="14"/>
      <c r="F34" s="12"/>
      <c r="G34" s="14"/>
      <c r="H34" s="37"/>
      <c r="I34" s="38"/>
      <c r="J34" s="39"/>
      <c r="K34" s="40"/>
      <c r="L34" s="41"/>
    </row>
    <row r="35" spans="1:12" x14ac:dyDescent="0.3">
      <c r="A35" s="12"/>
      <c r="B35" s="12" t="s">
        <v>46</v>
      </c>
      <c r="C35" s="14" t="s">
        <v>36</v>
      </c>
      <c r="D35" s="14" t="s">
        <v>43</v>
      </c>
      <c r="E35" s="14">
        <v>1</v>
      </c>
      <c r="F35" s="12">
        <f>E35*F11</f>
        <v>1</v>
      </c>
      <c r="G35" s="14">
        <v>250</v>
      </c>
      <c r="H35" s="37">
        <f t="shared" si="12"/>
        <v>250</v>
      </c>
      <c r="I35" s="38">
        <f t="shared" si="13"/>
        <v>250</v>
      </c>
      <c r="J35" s="39">
        <v>0.12</v>
      </c>
      <c r="K35" s="40">
        <f t="shared" si="14"/>
        <v>30</v>
      </c>
      <c r="L35" s="41">
        <f t="shared" si="15"/>
        <v>280</v>
      </c>
    </row>
    <row r="36" spans="1:12" x14ac:dyDescent="0.3">
      <c r="A36" s="12"/>
      <c r="B36" s="12"/>
      <c r="C36" s="14"/>
      <c r="D36" s="14"/>
      <c r="E36" s="14"/>
      <c r="F36" s="12"/>
      <c r="G36" s="14"/>
      <c r="H36" s="37"/>
      <c r="I36" s="38"/>
      <c r="J36" s="39"/>
      <c r="K36" s="40"/>
      <c r="L36" s="41"/>
    </row>
    <row r="37" spans="1:12" x14ac:dyDescent="0.3">
      <c r="A37" s="12" t="s">
        <v>47</v>
      </c>
      <c r="B37" s="12" t="s">
        <v>48</v>
      </c>
      <c r="C37" s="14" t="s">
        <v>36</v>
      </c>
      <c r="D37" s="14" t="s">
        <v>43</v>
      </c>
      <c r="E37" s="14">
        <v>1</v>
      </c>
      <c r="F37" s="41">
        <f>E37*F11</f>
        <v>1</v>
      </c>
      <c r="G37" s="14">
        <v>12</v>
      </c>
      <c r="H37" s="37">
        <f>E37*G37</f>
        <v>12</v>
      </c>
      <c r="I37" s="38">
        <f>F37*G37</f>
        <v>12</v>
      </c>
      <c r="J37" s="39">
        <v>0.12</v>
      </c>
      <c r="K37" s="40">
        <f>I37*J37</f>
        <v>1.44</v>
      </c>
      <c r="L37" s="41">
        <f>I37+K37</f>
        <v>13.44</v>
      </c>
    </row>
    <row r="38" spans="1:12" x14ac:dyDescent="0.3">
      <c r="A38" s="12"/>
      <c r="B38" s="12" t="s">
        <v>49</v>
      </c>
      <c r="C38" s="14" t="s">
        <v>36</v>
      </c>
      <c r="D38" s="14" t="s">
        <v>43</v>
      </c>
      <c r="E38" s="14">
        <v>1</v>
      </c>
      <c r="F38" s="41">
        <f>E38*F11</f>
        <v>1</v>
      </c>
      <c r="G38" s="14">
        <v>3.5</v>
      </c>
      <c r="H38" s="37">
        <f>E38*G38</f>
        <v>3.5</v>
      </c>
      <c r="I38" s="38">
        <f>F38*G38</f>
        <v>3.5</v>
      </c>
      <c r="J38" s="39">
        <v>0.12</v>
      </c>
      <c r="K38" s="40">
        <f>I38*J38</f>
        <v>0.42</v>
      </c>
      <c r="L38" s="41">
        <f>I38+K38</f>
        <v>3.92</v>
      </c>
    </row>
    <row r="39" spans="1:12" x14ac:dyDescent="0.3">
      <c r="A39" s="9"/>
      <c r="B39" s="12" t="s">
        <v>50</v>
      </c>
      <c r="C39" s="14" t="s">
        <v>36</v>
      </c>
      <c r="D39" s="14" t="s">
        <v>43</v>
      </c>
      <c r="E39" s="14">
        <v>1</v>
      </c>
      <c r="F39" s="41">
        <f>E39*F11</f>
        <v>1</v>
      </c>
      <c r="G39" s="14">
        <v>4</v>
      </c>
      <c r="H39" s="37">
        <v>4</v>
      </c>
      <c r="I39" s="38">
        <f>F39*G39</f>
        <v>4</v>
      </c>
      <c r="J39" s="39">
        <v>0.12</v>
      </c>
      <c r="K39" s="40">
        <f>I39*J39</f>
        <v>0.48</v>
      </c>
      <c r="L39" s="41">
        <f>I39+K39</f>
        <v>4.4800000000000004</v>
      </c>
    </row>
    <row r="40" spans="1:12" x14ac:dyDescent="0.3">
      <c r="A40" s="9"/>
      <c r="B40" s="12"/>
      <c r="C40" s="14"/>
      <c r="D40" s="14"/>
      <c r="E40" s="14"/>
      <c r="F40" s="41"/>
      <c r="G40" s="14"/>
      <c r="H40" s="12"/>
      <c r="I40" s="41"/>
      <c r="J40" s="39"/>
      <c r="K40" s="41"/>
      <c r="L40" s="41"/>
    </row>
    <row r="41" spans="1:12" ht="39.6" x14ac:dyDescent="0.3">
      <c r="A41" s="44" t="s">
        <v>51</v>
      </c>
      <c r="B41" s="21" t="s">
        <v>52</v>
      </c>
      <c r="C41" s="23" t="s">
        <v>36</v>
      </c>
      <c r="D41" s="23" t="s">
        <v>43</v>
      </c>
      <c r="E41" s="23">
        <v>1</v>
      </c>
      <c r="F41" s="45">
        <f>F11*E41</f>
        <v>1</v>
      </c>
      <c r="G41" s="23">
        <v>12</v>
      </c>
      <c r="H41" s="46">
        <f t="shared" ref="H41:H46" si="16">E41*G41</f>
        <v>12</v>
      </c>
      <c r="I41" s="47">
        <f t="shared" ref="I41:I45" si="17">F41*G41</f>
        <v>12</v>
      </c>
      <c r="J41" s="48">
        <v>0.18</v>
      </c>
      <c r="K41" s="49">
        <f t="shared" ref="K41:K46" si="18">I41*J41</f>
        <v>2.16</v>
      </c>
      <c r="L41" s="45">
        <f t="shared" ref="L41:L47" si="19">I41+K41</f>
        <v>14.16</v>
      </c>
    </row>
    <row r="42" spans="1:12" x14ac:dyDescent="0.3">
      <c r="A42" s="12"/>
      <c r="B42" s="12" t="s">
        <v>53</v>
      </c>
      <c r="C42" s="14" t="s">
        <v>36</v>
      </c>
      <c r="D42" s="14" t="s">
        <v>43</v>
      </c>
      <c r="E42" s="14">
        <v>1</v>
      </c>
      <c r="F42" s="41">
        <f>E42*F11</f>
        <v>1</v>
      </c>
      <c r="G42" s="14">
        <v>0</v>
      </c>
      <c r="H42" s="37">
        <f t="shared" si="16"/>
        <v>0</v>
      </c>
      <c r="I42" s="38">
        <f t="shared" si="17"/>
        <v>0</v>
      </c>
      <c r="J42" s="39">
        <v>0.18</v>
      </c>
      <c r="K42" s="40">
        <f t="shared" si="18"/>
        <v>0</v>
      </c>
      <c r="L42" s="41">
        <f t="shared" si="19"/>
        <v>0</v>
      </c>
    </row>
    <row r="43" spans="1:12" x14ac:dyDescent="0.3">
      <c r="A43" s="12"/>
      <c r="B43" s="12" t="s">
        <v>54</v>
      </c>
      <c r="C43" s="14" t="s">
        <v>36</v>
      </c>
      <c r="D43" s="14" t="s">
        <v>55</v>
      </c>
      <c r="E43" s="14">
        <v>1</v>
      </c>
      <c r="F43" s="41">
        <f>E43*F11</f>
        <v>1</v>
      </c>
      <c r="G43" s="14">
        <v>0</v>
      </c>
      <c r="H43" s="37">
        <f t="shared" si="16"/>
        <v>0</v>
      </c>
      <c r="I43" s="38">
        <f t="shared" si="17"/>
        <v>0</v>
      </c>
      <c r="J43" s="39">
        <v>0.18</v>
      </c>
      <c r="K43" s="40">
        <f t="shared" si="18"/>
        <v>0</v>
      </c>
      <c r="L43" s="41">
        <f t="shared" si="19"/>
        <v>0</v>
      </c>
    </row>
    <row r="44" spans="1:12" x14ac:dyDescent="0.3">
      <c r="A44" s="12"/>
      <c r="B44" s="12" t="s">
        <v>56</v>
      </c>
      <c r="C44" s="14" t="s">
        <v>36</v>
      </c>
      <c r="D44" s="14" t="s">
        <v>55</v>
      </c>
      <c r="E44" s="14">
        <v>0.2</v>
      </c>
      <c r="F44" s="41">
        <f>E44*F11</f>
        <v>0.2</v>
      </c>
      <c r="G44" s="14">
        <v>115</v>
      </c>
      <c r="H44" s="37">
        <v>15</v>
      </c>
      <c r="I44" s="38">
        <f>H44*F11</f>
        <v>15</v>
      </c>
      <c r="J44" s="39">
        <v>0.18</v>
      </c>
      <c r="K44" s="40">
        <f t="shared" si="18"/>
        <v>2.6999999999999997</v>
      </c>
      <c r="L44" s="41">
        <f t="shared" si="19"/>
        <v>17.7</v>
      </c>
    </row>
    <row r="45" spans="1:12" x14ac:dyDescent="0.3">
      <c r="A45" s="12"/>
      <c r="B45" s="12" t="s">
        <v>57</v>
      </c>
      <c r="C45" s="14" t="s">
        <v>36</v>
      </c>
      <c r="D45" s="14" t="s">
        <v>58</v>
      </c>
      <c r="E45" s="14">
        <v>2</v>
      </c>
      <c r="F45" s="41">
        <f>E45*F11</f>
        <v>2</v>
      </c>
      <c r="G45" s="14">
        <v>1.35</v>
      </c>
      <c r="H45" s="37">
        <f t="shared" si="16"/>
        <v>2.7</v>
      </c>
      <c r="I45" s="38">
        <f t="shared" si="17"/>
        <v>2.7</v>
      </c>
      <c r="J45" s="39">
        <v>0.18</v>
      </c>
      <c r="K45" s="40">
        <f t="shared" si="18"/>
        <v>0.48599999999999999</v>
      </c>
      <c r="L45" s="41">
        <f t="shared" si="19"/>
        <v>3.1859999999999999</v>
      </c>
    </row>
    <row r="46" spans="1:12" x14ac:dyDescent="0.3">
      <c r="A46" s="12"/>
      <c r="B46" s="12" t="s">
        <v>59</v>
      </c>
      <c r="C46" s="14" t="s">
        <v>36</v>
      </c>
      <c r="D46" s="14" t="s">
        <v>43</v>
      </c>
      <c r="E46" s="14">
        <v>7.0000000000000007E-2</v>
      </c>
      <c r="F46" s="41">
        <f>E46*F11</f>
        <v>7.0000000000000007E-2</v>
      </c>
      <c r="G46" s="14">
        <v>168</v>
      </c>
      <c r="H46" s="37">
        <f t="shared" si="16"/>
        <v>11.760000000000002</v>
      </c>
      <c r="I46" s="38">
        <f>F46*G46</f>
        <v>11.760000000000002</v>
      </c>
      <c r="J46" s="39">
        <v>0.18</v>
      </c>
      <c r="K46" s="40">
        <f t="shared" si="18"/>
        <v>2.1168</v>
      </c>
      <c r="L46" s="41">
        <f t="shared" si="19"/>
        <v>13.876800000000001</v>
      </c>
    </row>
    <row r="47" spans="1:12" x14ac:dyDescent="0.3">
      <c r="A47" s="12"/>
      <c r="B47" s="12" t="s">
        <v>60</v>
      </c>
      <c r="C47" s="14" t="s">
        <v>61</v>
      </c>
      <c r="D47" s="14" t="s">
        <v>62</v>
      </c>
      <c r="E47" s="14">
        <f>0.1</f>
        <v>0.1</v>
      </c>
      <c r="F47" s="41">
        <f>E47*F11</f>
        <v>0.1</v>
      </c>
      <c r="G47" s="14">
        <v>54</v>
      </c>
      <c r="H47" s="37">
        <f>E47*G47</f>
        <v>5.4</v>
      </c>
      <c r="I47" s="38">
        <f>F47*G47</f>
        <v>5.4</v>
      </c>
      <c r="J47" s="39">
        <v>0.18</v>
      </c>
      <c r="K47" s="40">
        <f>I47*J47</f>
        <v>0.97199999999999998</v>
      </c>
      <c r="L47" s="41">
        <f t="shared" si="19"/>
        <v>6.3719999999999999</v>
      </c>
    </row>
    <row r="48" spans="1:12" x14ac:dyDescent="0.3">
      <c r="A48" s="12"/>
      <c r="B48" s="12"/>
      <c r="C48" s="14"/>
      <c r="D48" s="14"/>
      <c r="E48" s="14"/>
      <c r="F48" s="41"/>
      <c r="G48" s="14"/>
      <c r="H48" s="50">
        <f>SUM(H16:H47)</f>
        <v>1105.3781250000002</v>
      </c>
      <c r="I48" s="50">
        <f>SUM(I16:I47)</f>
        <v>955.37812500000007</v>
      </c>
      <c r="J48" s="51"/>
      <c r="K48" s="52">
        <f>SUM(K16:K47)</f>
        <v>121.28366250000001</v>
      </c>
      <c r="L48" s="53">
        <f>SUM(L16:L47)</f>
        <v>1076.6617875000002</v>
      </c>
    </row>
    <row r="49" spans="1:12" x14ac:dyDescent="0.3">
      <c r="A49" s="12" t="s">
        <v>63</v>
      </c>
      <c r="B49" s="12" t="s">
        <v>64</v>
      </c>
      <c r="C49" s="15"/>
      <c r="D49" s="14" t="s">
        <v>43</v>
      </c>
      <c r="E49" s="14">
        <f>C49*1%</f>
        <v>0</v>
      </c>
      <c r="F49" s="41">
        <f>F11</f>
        <v>1</v>
      </c>
      <c r="G49" s="14">
        <f>E49</f>
        <v>0</v>
      </c>
      <c r="H49" s="38">
        <f>G49</f>
        <v>0</v>
      </c>
      <c r="I49" s="38">
        <f>H49*F49</f>
        <v>0</v>
      </c>
      <c r="J49" s="39">
        <v>0.18</v>
      </c>
      <c r="K49" s="40">
        <f t="shared" ref="K49:K57" si="20">I49*J49</f>
        <v>0</v>
      </c>
      <c r="L49" s="41">
        <f t="shared" ref="L49:L57" si="21">I49+K49</f>
        <v>0</v>
      </c>
    </row>
    <row r="50" spans="1:12" x14ac:dyDescent="0.3">
      <c r="A50" s="12"/>
      <c r="B50" s="12" t="s">
        <v>65</v>
      </c>
      <c r="C50" s="15"/>
      <c r="D50" s="14" t="s">
        <v>43</v>
      </c>
      <c r="E50" s="14">
        <f>C50*1%</f>
        <v>0</v>
      </c>
      <c r="F50" s="41">
        <f>F11</f>
        <v>1</v>
      </c>
      <c r="G50" s="14">
        <f>E50</f>
        <v>0</v>
      </c>
      <c r="H50" s="38">
        <f>G50</f>
        <v>0</v>
      </c>
      <c r="I50" s="38">
        <f>H50*F50</f>
        <v>0</v>
      </c>
      <c r="J50" s="39">
        <v>0.18</v>
      </c>
      <c r="K50" s="40">
        <f t="shared" si="20"/>
        <v>0</v>
      </c>
      <c r="L50" s="41">
        <f t="shared" si="21"/>
        <v>0</v>
      </c>
    </row>
    <row r="51" spans="1:12" x14ac:dyDescent="0.3">
      <c r="A51" s="12"/>
      <c r="B51" s="12" t="s">
        <v>66</v>
      </c>
      <c r="C51" s="15"/>
      <c r="D51" s="14" t="s">
        <v>43</v>
      </c>
      <c r="E51" s="14">
        <f>C51*5%</f>
        <v>0</v>
      </c>
      <c r="F51" s="41">
        <f>F11</f>
        <v>1</v>
      </c>
      <c r="G51" s="14">
        <f t="shared" ref="G51:G56" si="22">E51</f>
        <v>0</v>
      </c>
      <c r="H51" s="38">
        <f t="shared" ref="H51:H56" si="23">G51</f>
        <v>0</v>
      </c>
      <c r="I51" s="38">
        <f>H51*F51</f>
        <v>0</v>
      </c>
      <c r="J51" s="39"/>
      <c r="K51" s="40">
        <f t="shared" si="20"/>
        <v>0</v>
      </c>
      <c r="L51" s="41">
        <f t="shared" si="21"/>
        <v>0</v>
      </c>
    </row>
    <row r="52" spans="1:12" x14ac:dyDescent="0.3">
      <c r="A52" s="12"/>
      <c r="B52" s="12" t="s">
        <v>67</v>
      </c>
      <c r="C52" s="15"/>
      <c r="D52" s="14" t="s">
        <v>43</v>
      </c>
      <c r="E52" s="14">
        <f>C52*7%</f>
        <v>0</v>
      </c>
      <c r="F52" s="41">
        <f>F11</f>
        <v>1</v>
      </c>
      <c r="G52" s="14">
        <f t="shared" si="22"/>
        <v>0</v>
      </c>
      <c r="H52" s="38">
        <f t="shared" si="23"/>
        <v>0</v>
      </c>
      <c r="I52" s="38">
        <f>H52*F52</f>
        <v>0</v>
      </c>
      <c r="J52" s="12"/>
      <c r="K52" s="40">
        <f t="shared" si="20"/>
        <v>0</v>
      </c>
      <c r="L52" s="41">
        <f t="shared" si="21"/>
        <v>0</v>
      </c>
    </row>
    <row r="53" spans="1:12" x14ac:dyDescent="0.3">
      <c r="A53" s="9" t="s">
        <v>68</v>
      </c>
      <c r="B53" s="12" t="s">
        <v>69</v>
      </c>
      <c r="C53" s="15"/>
      <c r="D53" s="14" t="s">
        <v>43</v>
      </c>
      <c r="E53" s="14">
        <f>C53*2.5%</f>
        <v>0</v>
      </c>
      <c r="F53" s="41">
        <f>F11</f>
        <v>1</v>
      </c>
      <c r="G53" s="14">
        <f t="shared" si="22"/>
        <v>0</v>
      </c>
      <c r="H53" s="38">
        <f t="shared" si="23"/>
        <v>0</v>
      </c>
      <c r="I53" s="38">
        <f t="shared" ref="I53:I57" si="24">H53*F53</f>
        <v>0</v>
      </c>
      <c r="J53" s="12"/>
      <c r="K53" s="40">
        <f t="shared" si="20"/>
        <v>0</v>
      </c>
      <c r="L53" s="41">
        <f t="shared" si="21"/>
        <v>0</v>
      </c>
    </row>
    <row r="54" spans="1:12" x14ac:dyDescent="0.3">
      <c r="A54" s="12"/>
      <c r="B54" s="12" t="s">
        <v>70</v>
      </c>
      <c r="C54" s="15"/>
      <c r="D54" s="14" t="s">
        <v>43</v>
      </c>
      <c r="E54" s="14">
        <f>C54*2%</f>
        <v>0</v>
      </c>
      <c r="F54" s="41">
        <f>F11</f>
        <v>1</v>
      </c>
      <c r="G54" s="14">
        <f t="shared" si="22"/>
        <v>0</v>
      </c>
      <c r="H54" s="38">
        <f t="shared" si="23"/>
        <v>0</v>
      </c>
      <c r="I54" s="38">
        <f t="shared" si="24"/>
        <v>0</v>
      </c>
      <c r="J54" s="12"/>
      <c r="K54" s="40">
        <f t="shared" si="20"/>
        <v>0</v>
      </c>
      <c r="L54" s="41">
        <f t="shared" si="21"/>
        <v>0</v>
      </c>
    </row>
    <row r="55" spans="1:12" x14ac:dyDescent="0.3">
      <c r="A55" s="12"/>
      <c r="B55" s="12" t="s">
        <v>71</v>
      </c>
      <c r="C55" s="15"/>
      <c r="D55" s="14" t="s">
        <v>43</v>
      </c>
      <c r="E55" s="14">
        <v>1200</v>
      </c>
      <c r="F55" s="41">
        <f>F11</f>
        <v>1</v>
      </c>
      <c r="G55" s="14">
        <f t="shared" si="22"/>
        <v>1200</v>
      </c>
      <c r="H55" s="38">
        <f t="shared" si="23"/>
        <v>1200</v>
      </c>
      <c r="I55" s="38">
        <f t="shared" si="24"/>
        <v>1200</v>
      </c>
      <c r="J55" s="12"/>
      <c r="K55" s="40">
        <f t="shared" si="20"/>
        <v>0</v>
      </c>
      <c r="L55" s="41">
        <f t="shared" si="21"/>
        <v>1200</v>
      </c>
    </row>
    <row r="56" spans="1:12" x14ac:dyDescent="0.3">
      <c r="A56" s="12"/>
      <c r="B56" s="12" t="s">
        <v>72</v>
      </c>
      <c r="C56" s="15">
        <f>B62</f>
        <v>6800</v>
      </c>
      <c r="D56" s="14" t="s">
        <v>43</v>
      </c>
      <c r="E56" s="14">
        <f>C56*5%</f>
        <v>340</v>
      </c>
      <c r="F56" s="41">
        <f>F11</f>
        <v>1</v>
      </c>
      <c r="G56" s="14">
        <f t="shared" si="22"/>
        <v>340</v>
      </c>
      <c r="H56" s="38">
        <f t="shared" si="23"/>
        <v>340</v>
      </c>
      <c r="I56" s="38">
        <f t="shared" si="24"/>
        <v>340</v>
      </c>
      <c r="J56" s="12"/>
      <c r="K56" s="40">
        <f t="shared" si="20"/>
        <v>0</v>
      </c>
      <c r="L56" s="41">
        <f t="shared" si="21"/>
        <v>340</v>
      </c>
    </row>
    <row r="57" spans="1:12" x14ac:dyDescent="0.3">
      <c r="A57" s="12" t="s">
        <v>73</v>
      </c>
      <c r="B57" s="54" t="s">
        <v>74</v>
      </c>
      <c r="C57" s="55"/>
      <c r="D57" s="55" t="s">
        <v>43</v>
      </c>
      <c r="E57" s="55">
        <v>420</v>
      </c>
      <c r="F57" s="41">
        <f>F11</f>
        <v>1</v>
      </c>
      <c r="G57" s="55">
        <v>420</v>
      </c>
      <c r="H57" s="56">
        <v>420</v>
      </c>
      <c r="I57" s="38">
        <f t="shared" si="24"/>
        <v>420</v>
      </c>
      <c r="J57" s="54"/>
      <c r="K57" s="57">
        <f t="shared" si="20"/>
        <v>0</v>
      </c>
      <c r="L57" s="58">
        <f t="shared" si="21"/>
        <v>420</v>
      </c>
    </row>
    <row r="58" spans="1:12" x14ac:dyDescent="0.3">
      <c r="A58" s="2"/>
      <c r="B58" s="2"/>
      <c r="C58" s="1"/>
      <c r="D58" s="1"/>
      <c r="E58" s="1"/>
      <c r="F58" s="59">
        <f>F11</f>
        <v>1</v>
      </c>
      <c r="G58" s="1"/>
      <c r="H58" s="59">
        <f>SUM(H48:H57)</f>
        <v>3065.3781250000002</v>
      </c>
      <c r="I58" s="59">
        <f>SUM(I48:I57)</f>
        <v>2915.3781250000002</v>
      </c>
      <c r="J58" s="60"/>
      <c r="K58" s="59">
        <f>SUM(K48:K57)</f>
        <v>121.28366250000001</v>
      </c>
      <c r="L58" s="59">
        <f>SUM(L48:L57)</f>
        <v>3036.6617875000002</v>
      </c>
    </row>
    <row r="59" spans="1:12" x14ac:dyDescent="0.3">
      <c r="A59" s="2"/>
      <c r="B59" s="2"/>
      <c r="C59" s="1"/>
      <c r="D59" s="1"/>
      <c r="E59" s="1"/>
      <c r="F59" s="2"/>
      <c r="G59" s="1"/>
      <c r="H59" s="61"/>
      <c r="I59" s="61"/>
    </row>
    <row r="60" spans="1:12" ht="46.2" customHeight="1" x14ac:dyDescent="0.3">
      <c r="A60" s="2"/>
      <c r="B60" s="2"/>
      <c r="C60" s="1"/>
      <c r="D60" s="1"/>
      <c r="E60" s="1"/>
      <c r="F60" s="2"/>
      <c r="G60" s="62" t="s">
        <v>75</v>
      </c>
      <c r="H60" s="2"/>
      <c r="I60" s="2"/>
      <c r="J60" s="2"/>
      <c r="K60" s="61"/>
      <c r="L60" s="2"/>
    </row>
    <row r="61" spans="1:12" ht="18" x14ac:dyDescent="0.35">
      <c r="A61" s="63" t="s">
        <v>76</v>
      </c>
      <c r="B61" s="64">
        <v>80</v>
      </c>
      <c r="C61" s="122" t="s">
        <v>77</v>
      </c>
      <c r="D61" s="122"/>
      <c r="E61" s="122"/>
      <c r="F61" s="122"/>
      <c r="G61" s="65">
        <f>G13</f>
        <v>3895</v>
      </c>
      <c r="H61" s="1"/>
      <c r="I61" s="1"/>
      <c r="J61" s="2"/>
      <c r="K61" s="2"/>
      <c r="L61" s="2"/>
    </row>
    <row r="62" spans="1:12" ht="18" x14ac:dyDescent="0.35">
      <c r="A62" s="63">
        <v>85</v>
      </c>
      <c r="B62" s="63">
        <f>B61*A62</f>
        <v>6800</v>
      </c>
      <c r="C62" s="122" t="s">
        <v>78</v>
      </c>
      <c r="D62" s="122"/>
      <c r="E62" s="122"/>
      <c r="F62" s="122"/>
      <c r="G62" s="65">
        <f>I58/F11</f>
        <v>2915.3781250000002</v>
      </c>
      <c r="H62" s="1"/>
      <c r="I62" s="1"/>
      <c r="J62" s="2"/>
      <c r="K62" s="2"/>
      <c r="L62" s="2"/>
    </row>
    <row r="63" spans="1:12" x14ac:dyDescent="0.3">
      <c r="A63" s="2"/>
      <c r="B63" s="2"/>
      <c r="C63" s="130" t="s">
        <v>79</v>
      </c>
      <c r="D63" s="130"/>
      <c r="E63" s="130"/>
      <c r="F63" s="130"/>
      <c r="G63" s="67">
        <f>SUM(G61:G62)</f>
        <v>6810.3781250000002</v>
      </c>
      <c r="H63" s="1"/>
      <c r="I63" s="1"/>
      <c r="J63" s="2"/>
      <c r="K63" s="2"/>
      <c r="L63" s="2"/>
    </row>
    <row r="64" spans="1:12" ht="14.4" customHeight="1" x14ac:dyDescent="0.35">
      <c r="A64" s="63" t="s">
        <v>76</v>
      </c>
      <c r="B64" s="64">
        <f>H65</f>
        <v>71.68819078947368</v>
      </c>
      <c r="C64" s="2"/>
      <c r="G64" s="1"/>
      <c r="H64" s="1"/>
      <c r="I64" s="1"/>
      <c r="J64" s="2"/>
      <c r="K64" s="2"/>
      <c r="L64" s="2"/>
    </row>
    <row r="65" spans="1:12" ht="14.4" customHeight="1" x14ac:dyDescent="0.35">
      <c r="A65" s="63">
        <v>95</v>
      </c>
      <c r="B65" s="64">
        <f>B64*A65</f>
        <v>6810.3781249999993</v>
      </c>
      <c r="C65" s="2"/>
      <c r="G65" s="68">
        <f>G63/A62</f>
        <v>80.122095588235297</v>
      </c>
      <c r="H65" s="69">
        <f>G63/A65</f>
        <v>71.68819078947368</v>
      </c>
      <c r="I65" s="1"/>
      <c r="J65" s="2"/>
      <c r="K65" s="2"/>
      <c r="L65" s="2"/>
    </row>
    <row r="66" spans="1:12" ht="14.4" customHeight="1" x14ac:dyDescent="0.3">
      <c r="A66" s="2"/>
      <c r="B66" s="109"/>
      <c r="D66" s="70" t="s">
        <v>80</v>
      </c>
      <c r="E66" s="1"/>
      <c r="F66" s="71"/>
      <c r="G66" s="71"/>
      <c r="H66" s="1"/>
      <c r="I66" s="1"/>
      <c r="J66" s="2"/>
      <c r="K66" s="2"/>
      <c r="L66" s="2"/>
    </row>
    <row r="67" spans="1:12" ht="14.4" customHeight="1" x14ac:dyDescent="0.3">
      <c r="A67" s="2"/>
      <c r="B67" s="109"/>
      <c r="D67" s="72" t="s">
        <v>81</v>
      </c>
      <c r="E67" s="73">
        <f>I58/F58</f>
        <v>2915.3781250000002</v>
      </c>
      <c r="F67" s="74" t="s">
        <v>20</v>
      </c>
      <c r="G67" s="71"/>
      <c r="H67" s="1"/>
      <c r="I67" s="1"/>
      <c r="J67" s="2"/>
      <c r="K67" s="2"/>
      <c r="L67" s="2"/>
    </row>
    <row r="68" spans="1:12" x14ac:dyDescent="0.3">
      <c r="A68" s="2"/>
      <c r="B68" s="75"/>
      <c r="C68" s="2"/>
      <c r="D68" s="72" t="s">
        <v>21</v>
      </c>
      <c r="E68" s="73">
        <f>L58/F58</f>
        <v>3036.6617875000002</v>
      </c>
      <c r="F68" s="74" t="s">
        <v>20</v>
      </c>
      <c r="G68" s="71"/>
      <c r="H68" s="1"/>
      <c r="I68" s="1"/>
      <c r="J68" s="2"/>
      <c r="K68" s="2"/>
      <c r="L68" s="2"/>
    </row>
    <row r="69" spans="1:12" x14ac:dyDescent="0.3">
      <c r="A69" s="2"/>
      <c r="B69" s="2"/>
      <c r="C69" s="1"/>
      <c r="D69" s="76"/>
      <c r="E69" s="71"/>
      <c r="F69" s="71"/>
      <c r="G69" s="1"/>
      <c r="H69" s="2"/>
      <c r="I69" s="2"/>
      <c r="J69" s="2"/>
      <c r="K69" s="2"/>
      <c r="L69" s="2"/>
    </row>
    <row r="70" spans="1:12" x14ac:dyDescent="0.3">
      <c r="D70" s="77" t="s">
        <v>21</v>
      </c>
      <c r="E70" s="78"/>
      <c r="F70" s="79" t="s">
        <v>19</v>
      </c>
    </row>
    <row r="71" spans="1:12" x14ac:dyDescent="0.3">
      <c r="B71" s="122" t="s">
        <v>82</v>
      </c>
      <c r="C71" s="122"/>
      <c r="D71" s="65">
        <f>G14</f>
        <v>4362.3999999999996</v>
      </c>
      <c r="E71" s="75"/>
      <c r="F71" s="80">
        <f>G13</f>
        <v>3895</v>
      </c>
    </row>
    <row r="72" spans="1:12" x14ac:dyDescent="0.3">
      <c r="B72" s="124" t="s">
        <v>83</v>
      </c>
      <c r="C72" s="125"/>
      <c r="D72" s="65">
        <f>E68</f>
        <v>3036.6617875000002</v>
      </c>
      <c r="E72" s="75"/>
      <c r="F72" s="80">
        <f>E67</f>
        <v>2915.3781250000002</v>
      </c>
    </row>
    <row r="73" spans="1:12" x14ac:dyDescent="0.3">
      <c r="B73" s="66" t="s">
        <v>79</v>
      </c>
      <c r="C73" s="66"/>
      <c r="D73" s="67">
        <f>SUM(D71:D72)</f>
        <v>7399.0617874999998</v>
      </c>
      <c r="E73" s="78"/>
      <c r="F73" s="81">
        <f>SUM(F71:F72)</f>
        <v>6810.3781250000002</v>
      </c>
    </row>
    <row r="74" spans="1:12" x14ac:dyDescent="0.3">
      <c r="D74" s="82"/>
      <c r="E74" s="1"/>
      <c r="F74" s="71"/>
    </row>
    <row r="75" spans="1:12" x14ac:dyDescent="0.3">
      <c r="D75" s="68">
        <f>D73/A62</f>
        <v>87.047785735294113</v>
      </c>
      <c r="E75" s="1"/>
      <c r="F75" s="68">
        <f>F73/A62</f>
        <v>80.122095588235297</v>
      </c>
    </row>
    <row r="82" spans="4:4" x14ac:dyDescent="0.3">
      <c r="D82" s="43"/>
    </row>
    <row r="83" spans="4:4" x14ac:dyDescent="0.3">
      <c r="D83" s="43"/>
    </row>
    <row r="84" spans="4:4" x14ac:dyDescent="0.3">
      <c r="D84" s="43"/>
    </row>
    <row r="85" spans="4:4" x14ac:dyDescent="0.3">
      <c r="D85" s="43"/>
    </row>
    <row r="86" spans="4:4" x14ac:dyDescent="0.3">
      <c r="D86" s="43"/>
    </row>
  </sheetData>
  <mergeCells count="13">
    <mergeCell ref="L7:L8"/>
    <mergeCell ref="A1:F1"/>
    <mergeCell ref="A2:F2"/>
    <mergeCell ref="A3:F3"/>
    <mergeCell ref="A5:F5"/>
    <mergeCell ref="J7:K7"/>
    <mergeCell ref="B71:C71"/>
    <mergeCell ref="B72:C72"/>
    <mergeCell ref="D13:E13"/>
    <mergeCell ref="D14:E14"/>
    <mergeCell ref="C61:F61"/>
    <mergeCell ref="C62:F62"/>
    <mergeCell ref="C63:F63"/>
  </mergeCells>
  <pageMargins left="0.11811023622047245" right="0.31496062992125984" top="0.15748031496062992" bottom="0.15748031496062992" header="0.31496062992125984" footer="0.31496062992125984"/>
  <pageSetup paperSize="9" scale="9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A46F2-F19B-459B-AAB2-5888E3134BC4}">
  <dimension ref="A1:O86"/>
  <sheetViews>
    <sheetView workbookViewId="0">
      <selection activeCell="B61" sqref="B61"/>
    </sheetView>
  </sheetViews>
  <sheetFormatPr defaultRowHeight="14.4" x14ac:dyDescent="0.3"/>
  <cols>
    <col min="1" max="1" width="9.6640625" bestFit="1" customWidth="1"/>
    <col min="2" max="2" width="41.21875" bestFit="1" customWidth="1"/>
    <col min="3" max="3" width="15" bestFit="1" customWidth="1"/>
    <col min="4" max="4" width="10.33203125" bestFit="1" customWidth="1"/>
    <col min="5" max="5" width="7.5546875" bestFit="1" customWidth="1"/>
    <col min="6" max="6" width="8.5546875" bestFit="1" customWidth="1"/>
    <col min="7" max="7" width="9.109375" style="43" bestFit="1" customWidth="1"/>
    <col min="8" max="8" width="8" bestFit="1" customWidth="1"/>
    <col min="9" max="9" width="10.44140625" bestFit="1" customWidth="1"/>
    <col min="10" max="10" width="5.44140625" bestFit="1" customWidth="1"/>
    <col min="11" max="11" width="9.44140625" bestFit="1" customWidth="1"/>
    <col min="12" max="12" width="10.44140625" bestFit="1" customWidth="1"/>
    <col min="13" max="13" width="5" bestFit="1" customWidth="1"/>
    <col min="14" max="14" width="7" bestFit="1" customWidth="1"/>
  </cols>
  <sheetData>
    <row r="1" spans="1:12" x14ac:dyDescent="0.3">
      <c r="A1" s="114" t="s">
        <v>0</v>
      </c>
      <c r="B1" s="115"/>
      <c r="C1" s="115"/>
      <c r="D1" s="115"/>
      <c r="E1" s="115"/>
      <c r="F1" s="115"/>
      <c r="G1" s="1"/>
      <c r="H1" s="2"/>
      <c r="I1" s="2"/>
      <c r="J1" s="2"/>
      <c r="K1" s="2"/>
      <c r="L1" s="2"/>
    </row>
    <row r="2" spans="1:12" x14ac:dyDescent="0.3">
      <c r="A2" s="114" t="s">
        <v>1</v>
      </c>
      <c r="B2" s="115"/>
      <c r="C2" s="115"/>
      <c r="D2" s="115"/>
      <c r="E2" s="115"/>
      <c r="F2" s="115"/>
      <c r="G2" s="1"/>
      <c r="H2" s="2"/>
      <c r="I2" s="2"/>
      <c r="J2" s="2"/>
      <c r="K2" s="2"/>
      <c r="L2" s="2"/>
    </row>
    <row r="3" spans="1:12" ht="18" x14ac:dyDescent="0.35">
      <c r="A3" s="116" t="s">
        <v>91</v>
      </c>
      <c r="B3" s="116"/>
      <c r="C3" s="116"/>
      <c r="D3" s="116"/>
      <c r="E3" s="116"/>
      <c r="F3" s="116"/>
      <c r="G3" s="3"/>
      <c r="H3" s="4"/>
      <c r="I3" s="4"/>
      <c r="J3" s="4"/>
      <c r="K3" s="4"/>
      <c r="L3" s="4"/>
    </row>
    <row r="4" spans="1:12" x14ac:dyDescent="0.3">
      <c r="G4" s="1"/>
      <c r="H4" s="2"/>
      <c r="I4" s="2"/>
      <c r="J4" s="2"/>
      <c r="K4" s="2"/>
      <c r="L4" s="2"/>
    </row>
    <row r="5" spans="1:12" ht="21" x14ac:dyDescent="0.4">
      <c r="A5" s="128" t="s">
        <v>2</v>
      </c>
      <c r="B5" s="129"/>
      <c r="C5" s="129"/>
      <c r="D5" s="129"/>
      <c r="E5" s="129"/>
      <c r="F5" s="129"/>
      <c r="G5" s="1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1"/>
      <c r="H6" s="2"/>
      <c r="I6" s="2"/>
      <c r="J6" s="2"/>
      <c r="K6" s="2"/>
      <c r="L6" s="2"/>
    </row>
    <row r="7" spans="1:12" ht="24" x14ac:dyDescent="0.3">
      <c r="A7" s="5" t="s">
        <v>3</v>
      </c>
      <c r="B7" s="6" t="s">
        <v>4</v>
      </c>
      <c r="C7" s="7" t="s">
        <v>5</v>
      </c>
      <c r="D7" s="7" t="s">
        <v>6</v>
      </c>
      <c r="E7" s="7" t="s">
        <v>7</v>
      </c>
      <c r="F7" s="6" t="s">
        <v>8</v>
      </c>
      <c r="G7" s="7" t="s">
        <v>9</v>
      </c>
      <c r="H7" s="8" t="s">
        <v>10</v>
      </c>
      <c r="I7" s="7" t="s">
        <v>11</v>
      </c>
      <c r="J7" s="117" t="s">
        <v>12</v>
      </c>
      <c r="K7" s="118"/>
      <c r="L7" s="119" t="s">
        <v>13</v>
      </c>
    </row>
    <row r="8" spans="1:12" x14ac:dyDescent="0.3">
      <c r="A8" s="9" t="s">
        <v>14</v>
      </c>
      <c r="B8" s="9"/>
      <c r="C8" s="10"/>
      <c r="D8" s="10"/>
      <c r="E8" s="10"/>
      <c r="F8" s="9"/>
      <c r="G8" s="10"/>
      <c r="H8" s="10"/>
      <c r="I8" s="10"/>
      <c r="J8" s="10" t="s">
        <v>15</v>
      </c>
      <c r="K8" s="11" t="s">
        <v>11</v>
      </c>
      <c r="L8" s="119"/>
    </row>
    <row r="9" spans="1:12" x14ac:dyDescent="0.3">
      <c r="A9" s="12"/>
      <c r="B9" s="13" t="s">
        <v>140</v>
      </c>
      <c r="C9" s="20" t="s">
        <v>92</v>
      </c>
      <c r="D9" s="14" t="s">
        <v>17</v>
      </c>
      <c r="E9" s="15">
        <v>375</v>
      </c>
      <c r="F9" s="15">
        <v>375</v>
      </c>
      <c r="G9" s="14">
        <v>9.5</v>
      </c>
      <c r="H9" s="16">
        <f>F9*G9</f>
        <v>3562.5</v>
      </c>
      <c r="I9" s="17">
        <f>F9*G9</f>
        <v>3562.5</v>
      </c>
      <c r="J9" s="18">
        <v>0.12</v>
      </c>
      <c r="K9" s="19">
        <f>I9*J9</f>
        <v>427.5</v>
      </c>
      <c r="L9" s="15">
        <f>I9+K9</f>
        <v>3990</v>
      </c>
    </row>
    <row r="10" spans="1:12" x14ac:dyDescent="0.3">
      <c r="A10" s="12"/>
      <c r="B10" s="13"/>
      <c r="C10" s="20"/>
      <c r="D10" s="14"/>
      <c r="E10" s="15"/>
      <c r="F10" s="15"/>
      <c r="G10" s="14"/>
      <c r="H10" s="16"/>
      <c r="I10" s="17"/>
      <c r="J10" s="18"/>
      <c r="K10" s="19"/>
      <c r="L10" s="15"/>
    </row>
    <row r="11" spans="1:12" ht="18" x14ac:dyDescent="0.3">
      <c r="A11" s="21"/>
      <c r="B11" s="13" t="s">
        <v>243</v>
      </c>
      <c r="C11" s="22"/>
      <c r="D11" s="22"/>
      <c r="E11" s="23"/>
      <c r="F11" s="24">
        <v>1</v>
      </c>
      <c r="G11" s="23"/>
      <c r="H11" s="25">
        <f>SUM(H9:H9)</f>
        <v>3562.5</v>
      </c>
      <c r="I11" s="26">
        <f>SUM(I9:I9)</f>
        <v>3562.5</v>
      </c>
      <c r="J11" s="27"/>
      <c r="K11" s="28">
        <f>SUM(K9:K9)</f>
        <v>427.5</v>
      </c>
      <c r="L11" s="29">
        <f>SUM(L9:L9)</f>
        <v>3990</v>
      </c>
    </row>
    <row r="12" spans="1:12" x14ac:dyDescent="0.3">
      <c r="A12" s="21"/>
      <c r="B12" s="21"/>
      <c r="C12" s="23"/>
      <c r="D12" s="30"/>
      <c r="E12" s="31"/>
      <c r="F12" s="32"/>
      <c r="G12" s="23"/>
      <c r="H12" s="25"/>
      <c r="I12" s="26"/>
      <c r="J12" s="27"/>
      <c r="K12" s="28"/>
      <c r="L12" s="29"/>
    </row>
    <row r="13" spans="1:12" x14ac:dyDescent="0.3">
      <c r="A13" s="12"/>
      <c r="B13" s="12"/>
      <c r="C13" s="14"/>
      <c r="D13" s="120" t="s">
        <v>19</v>
      </c>
      <c r="E13" s="121"/>
      <c r="F13" s="35" t="s">
        <v>20</v>
      </c>
      <c r="G13" s="36">
        <f>I11/F11</f>
        <v>3562.5</v>
      </c>
      <c r="H13" s="37"/>
      <c r="I13" s="38"/>
      <c r="J13" s="39"/>
      <c r="K13" s="40"/>
      <c r="L13" s="41"/>
    </row>
    <row r="14" spans="1:12" x14ac:dyDescent="0.3">
      <c r="A14" s="12"/>
      <c r="B14" s="12"/>
      <c r="C14" s="14"/>
      <c r="D14" s="120" t="s">
        <v>21</v>
      </c>
      <c r="E14" s="121"/>
      <c r="F14" s="35" t="s">
        <v>20</v>
      </c>
      <c r="G14" s="36">
        <f>L11/F11</f>
        <v>3990</v>
      </c>
      <c r="H14" s="37"/>
      <c r="I14" s="38"/>
      <c r="J14" s="39"/>
      <c r="K14" s="40"/>
      <c r="L14" s="41"/>
    </row>
    <row r="15" spans="1:12" x14ac:dyDescent="0.3">
      <c r="A15" s="12"/>
      <c r="B15" s="12"/>
      <c r="C15" s="14"/>
      <c r="D15" s="33"/>
      <c r="E15" s="34"/>
      <c r="F15" s="35"/>
      <c r="G15" s="36"/>
      <c r="H15" s="37"/>
      <c r="I15" s="38"/>
      <c r="J15" s="39"/>
      <c r="K15" s="40"/>
      <c r="L15" s="41"/>
    </row>
    <row r="16" spans="1:12" x14ac:dyDescent="0.3">
      <c r="A16" s="9" t="s">
        <v>22</v>
      </c>
      <c r="B16" s="42" t="s">
        <v>211</v>
      </c>
      <c r="C16" s="14" t="str">
        <f>C9</f>
        <v>ALGA</v>
      </c>
      <c r="D16" s="14" t="s">
        <v>24</v>
      </c>
      <c r="E16" s="14">
        <v>1</v>
      </c>
      <c r="F16" s="41">
        <f>E16*F11</f>
        <v>1</v>
      </c>
      <c r="G16" s="14">
        <v>52</v>
      </c>
      <c r="H16" s="37">
        <f>E16*G16</f>
        <v>52</v>
      </c>
      <c r="I16" s="38">
        <f>F16*G16</f>
        <v>52</v>
      </c>
      <c r="J16" s="39">
        <v>0.12</v>
      </c>
      <c r="K16" s="40">
        <f>I16*J16</f>
        <v>6.24</v>
      </c>
      <c r="L16" s="41">
        <f>I16+K16</f>
        <v>58.24</v>
      </c>
    </row>
    <row r="17" spans="1:15" x14ac:dyDescent="0.3">
      <c r="A17" s="9"/>
      <c r="B17" s="42" t="s">
        <v>212</v>
      </c>
      <c r="C17" s="14" t="str">
        <f>C9</f>
        <v>ALGA</v>
      </c>
      <c r="D17" s="14" t="s">
        <v>24</v>
      </c>
      <c r="E17" s="14">
        <v>1</v>
      </c>
      <c r="F17" s="41">
        <f>E17*F11</f>
        <v>1</v>
      </c>
      <c r="G17" s="14">
        <v>45</v>
      </c>
      <c r="H17" s="37">
        <f>E17*G17</f>
        <v>45</v>
      </c>
      <c r="I17" s="38">
        <f>F17*G17</f>
        <v>45</v>
      </c>
      <c r="J17" s="39">
        <v>0.12</v>
      </c>
      <c r="K17" s="40">
        <f>I17*J17</f>
        <v>5.3999999999999995</v>
      </c>
      <c r="L17" s="41">
        <f>I17+K17</f>
        <v>50.4</v>
      </c>
    </row>
    <row r="18" spans="1:15" x14ac:dyDescent="0.3">
      <c r="A18" s="9"/>
      <c r="B18" s="42"/>
      <c r="C18" s="14"/>
      <c r="D18" s="14"/>
      <c r="E18" s="14"/>
      <c r="F18" s="41"/>
      <c r="G18" s="14"/>
      <c r="H18" s="37"/>
      <c r="I18" s="38"/>
      <c r="J18" s="39"/>
      <c r="K18" s="40"/>
      <c r="L18" s="41"/>
    </row>
    <row r="19" spans="1:15" x14ac:dyDescent="0.3">
      <c r="A19" s="9" t="s">
        <v>26</v>
      </c>
      <c r="B19" s="12" t="s">
        <v>27</v>
      </c>
      <c r="C19" s="14" t="str">
        <f>C9</f>
        <v>ALGA</v>
      </c>
      <c r="D19" s="14" t="s">
        <v>28</v>
      </c>
      <c r="E19" s="14">
        <v>100</v>
      </c>
      <c r="F19" s="41">
        <f>E19*F11</f>
        <v>100</v>
      </c>
      <c r="G19" s="14">
        <v>125</v>
      </c>
      <c r="H19" s="37">
        <f>F19/1000*G19/F11</f>
        <v>12.5</v>
      </c>
      <c r="I19" s="38">
        <f>F19/1000*G19</f>
        <v>12.5</v>
      </c>
      <c r="J19" s="39">
        <v>0.12</v>
      </c>
      <c r="K19" s="40">
        <f>I19*J19</f>
        <v>1.5</v>
      </c>
      <c r="L19" s="41">
        <f>I19+K19</f>
        <v>14</v>
      </c>
    </row>
    <row r="20" spans="1:15" x14ac:dyDescent="0.3">
      <c r="A20" s="9"/>
      <c r="B20" s="12" t="s">
        <v>29</v>
      </c>
      <c r="C20" s="14" t="str">
        <f>C9</f>
        <v>ALGA</v>
      </c>
      <c r="D20" s="14" t="s">
        <v>28</v>
      </c>
      <c r="E20" s="14">
        <v>100</v>
      </c>
      <c r="F20" s="41">
        <f>E20*F11</f>
        <v>100</v>
      </c>
      <c r="G20" s="14">
        <v>257</v>
      </c>
      <c r="H20" s="37">
        <f>F20/5000*G20/F11</f>
        <v>5.14</v>
      </c>
      <c r="I20" s="38">
        <f>H20*F11</f>
        <v>5.14</v>
      </c>
      <c r="J20" s="39">
        <v>0.12</v>
      </c>
      <c r="K20" s="40">
        <f>I20*J20</f>
        <v>0.6167999999999999</v>
      </c>
      <c r="L20" s="41">
        <f>I20+K20</f>
        <v>5.7567999999999993</v>
      </c>
    </row>
    <row r="21" spans="1:15" x14ac:dyDescent="0.3">
      <c r="A21" s="9"/>
      <c r="B21" s="12" t="s">
        <v>30</v>
      </c>
      <c r="C21" s="14" t="str">
        <f>C9</f>
        <v>ALGA</v>
      </c>
      <c r="D21" s="14" t="s">
        <v>28</v>
      </c>
      <c r="E21" s="14">
        <v>50</v>
      </c>
      <c r="F21" s="41">
        <f>E21*F11</f>
        <v>50</v>
      </c>
      <c r="G21" s="14">
        <v>162</v>
      </c>
      <c r="H21" s="37">
        <f>F21/1000*G21/F11</f>
        <v>8.1</v>
      </c>
      <c r="I21" s="38">
        <f>F21/1000*G21</f>
        <v>8.1</v>
      </c>
      <c r="J21" s="39">
        <v>0.12</v>
      </c>
      <c r="K21" s="40">
        <f>I21*J21</f>
        <v>0.97199999999999998</v>
      </c>
      <c r="L21" s="41">
        <f>I21+K21</f>
        <v>9.0719999999999992</v>
      </c>
    </row>
    <row r="22" spans="1:15" x14ac:dyDescent="0.3">
      <c r="A22" s="9"/>
      <c r="B22" s="12"/>
      <c r="C22" s="14"/>
      <c r="D22" s="14"/>
      <c r="E22" s="14"/>
      <c r="F22" s="41"/>
      <c r="G22" s="14"/>
      <c r="H22" s="37"/>
      <c r="I22" s="38"/>
      <c r="J22" s="39"/>
      <c r="K22" s="40"/>
      <c r="L22" s="41"/>
    </row>
    <row r="23" spans="1:15" x14ac:dyDescent="0.3">
      <c r="A23" s="9" t="s">
        <v>31</v>
      </c>
      <c r="B23" s="12" t="s">
        <v>32</v>
      </c>
      <c r="C23" s="14" t="s">
        <v>33</v>
      </c>
      <c r="D23" s="14" t="s">
        <v>34</v>
      </c>
      <c r="E23" s="14">
        <v>1.5</v>
      </c>
      <c r="F23" s="41">
        <f>E23*F11</f>
        <v>1.5</v>
      </c>
      <c r="G23" s="14">
        <v>32</v>
      </c>
      <c r="H23" s="37">
        <f>E23*G23</f>
        <v>48</v>
      </c>
      <c r="I23" s="38">
        <f>F23*G23</f>
        <v>48</v>
      </c>
      <c r="J23" s="39">
        <v>0.18</v>
      </c>
      <c r="K23" s="40">
        <f>I23*J23</f>
        <v>8.64</v>
      </c>
      <c r="L23" s="41">
        <f>I23+K23</f>
        <v>56.64</v>
      </c>
    </row>
    <row r="24" spans="1:15" x14ac:dyDescent="0.3">
      <c r="A24" s="9"/>
      <c r="B24" s="12" t="s">
        <v>35</v>
      </c>
      <c r="C24" s="14" t="s">
        <v>36</v>
      </c>
      <c r="D24" s="14" t="s">
        <v>37</v>
      </c>
      <c r="E24" s="14">
        <v>0.15</v>
      </c>
      <c r="F24" s="41">
        <f>E24*F11</f>
        <v>0.15</v>
      </c>
      <c r="G24" s="14">
        <v>88</v>
      </c>
      <c r="H24" s="37">
        <f>E24*G24</f>
        <v>13.2</v>
      </c>
      <c r="I24" s="38">
        <f>F24*G24</f>
        <v>13.2</v>
      </c>
      <c r="J24" s="39">
        <v>0.18</v>
      </c>
      <c r="K24" s="40">
        <f>I24*J24</f>
        <v>2.3759999999999999</v>
      </c>
      <c r="L24" s="41">
        <f>I24+K24</f>
        <v>15.575999999999999</v>
      </c>
    </row>
    <row r="25" spans="1:15" x14ac:dyDescent="0.3">
      <c r="A25" s="9"/>
      <c r="B25" s="12" t="s">
        <v>38</v>
      </c>
      <c r="C25" s="14" t="s">
        <v>39</v>
      </c>
      <c r="D25" s="14" t="s">
        <v>34</v>
      </c>
      <c r="E25" s="14">
        <v>3.75</v>
      </c>
      <c r="F25" s="41">
        <f>E25*F11</f>
        <v>3.75</v>
      </c>
      <c r="G25" s="14">
        <v>0.6875</v>
      </c>
      <c r="H25" s="37">
        <f>E25*G25</f>
        <v>2.578125</v>
      </c>
      <c r="I25" s="38">
        <f>F25*G25</f>
        <v>2.578125</v>
      </c>
      <c r="J25" s="39">
        <v>0.18</v>
      </c>
      <c r="K25" s="40">
        <f>I25*J25</f>
        <v>0.46406249999999999</v>
      </c>
      <c r="L25" s="41">
        <f>I25+K25</f>
        <v>3.0421874999999998</v>
      </c>
    </row>
    <row r="26" spans="1:15" x14ac:dyDescent="0.3">
      <c r="A26" s="9"/>
      <c r="B26" s="12"/>
      <c r="C26" s="14"/>
      <c r="D26" s="14"/>
      <c r="E26" s="14"/>
      <c r="F26" s="41"/>
      <c r="G26" s="14"/>
      <c r="H26" s="37"/>
      <c r="I26" s="38"/>
      <c r="J26" s="39"/>
      <c r="K26" s="40"/>
      <c r="L26" s="41"/>
    </row>
    <row r="27" spans="1:15" x14ac:dyDescent="0.3">
      <c r="A27" s="9"/>
      <c r="B27" s="12"/>
      <c r="C27" s="14"/>
      <c r="D27" s="14"/>
      <c r="E27" s="14"/>
      <c r="F27" s="41"/>
      <c r="G27" s="14"/>
      <c r="H27" s="12"/>
      <c r="I27" s="41"/>
      <c r="J27" s="39"/>
      <c r="K27" s="41"/>
      <c r="L27" s="41"/>
      <c r="M27" t="s">
        <v>40</v>
      </c>
    </row>
    <row r="28" spans="1:15" x14ac:dyDescent="0.3">
      <c r="A28" s="12" t="s">
        <v>41</v>
      </c>
      <c r="B28" s="22" t="s">
        <v>213</v>
      </c>
      <c r="C28" s="14" t="s">
        <v>218</v>
      </c>
      <c r="D28" s="14" t="s">
        <v>43</v>
      </c>
      <c r="E28" s="14">
        <v>1</v>
      </c>
      <c r="F28" s="12">
        <f>E28*F11</f>
        <v>1</v>
      </c>
      <c r="G28" s="14">
        <v>155</v>
      </c>
      <c r="H28" s="12">
        <f t="shared" ref="H28:H31" si="0">E28*G28</f>
        <v>155</v>
      </c>
      <c r="I28" s="38">
        <f t="shared" ref="I28:I31" si="1">F28*G28</f>
        <v>155</v>
      </c>
      <c r="J28" s="39">
        <v>0.12</v>
      </c>
      <c r="K28" s="40">
        <f t="shared" ref="K28:K31" si="2">I28*J28</f>
        <v>18.599999999999998</v>
      </c>
      <c r="L28" s="41">
        <f t="shared" ref="L28:L31" si="3">I28+K28</f>
        <v>173.6</v>
      </c>
      <c r="M28">
        <v>1.69</v>
      </c>
      <c r="N28">
        <f>M28*85</f>
        <v>143.65</v>
      </c>
    </row>
    <row r="29" spans="1:15" x14ac:dyDescent="0.3">
      <c r="A29" s="12"/>
      <c r="B29" s="22" t="s">
        <v>214</v>
      </c>
      <c r="C29" s="14" t="s">
        <v>218</v>
      </c>
      <c r="D29" s="14" t="s">
        <v>43</v>
      </c>
      <c r="E29" s="14">
        <v>2</v>
      </c>
      <c r="F29" s="12">
        <f>E29*F11</f>
        <v>2</v>
      </c>
      <c r="G29" s="14">
        <v>60</v>
      </c>
      <c r="H29" s="12">
        <f t="shared" ref="H29" si="4">E29*G29</f>
        <v>120</v>
      </c>
      <c r="I29" s="38">
        <f t="shared" ref="I29" si="5">F29*G29</f>
        <v>120</v>
      </c>
      <c r="J29" s="39">
        <v>0.12</v>
      </c>
      <c r="K29" s="40">
        <f t="shared" ref="K29" si="6">I29*J29</f>
        <v>14.399999999999999</v>
      </c>
      <c r="L29" s="41">
        <f t="shared" ref="L29" si="7">I29+K29</f>
        <v>134.4</v>
      </c>
      <c r="M29">
        <v>0.62</v>
      </c>
      <c r="N29">
        <f>M29*85</f>
        <v>52.7</v>
      </c>
      <c r="O29" s="43"/>
    </row>
    <row r="30" spans="1:15" x14ac:dyDescent="0.3">
      <c r="A30" s="12"/>
      <c r="B30" s="22" t="s">
        <v>217</v>
      </c>
      <c r="C30" s="14" t="s">
        <v>218</v>
      </c>
      <c r="D30" s="14" t="s">
        <v>43</v>
      </c>
      <c r="E30" s="14">
        <v>12</v>
      </c>
      <c r="F30" s="12">
        <f>E30*F11</f>
        <v>12</v>
      </c>
      <c r="G30" s="14">
        <v>7</v>
      </c>
      <c r="H30" s="12">
        <f t="shared" ref="H30" si="8">E30*G30</f>
        <v>84</v>
      </c>
      <c r="I30" s="38">
        <f t="shared" ref="I30" si="9">F30*G30</f>
        <v>84</v>
      </c>
      <c r="J30" s="39">
        <v>0.12</v>
      </c>
      <c r="K30" s="40">
        <f t="shared" ref="K30" si="10">I30*J30</f>
        <v>10.08</v>
      </c>
      <c r="L30" s="41">
        <f t="shared" ref="L30" si="11">I30+K30</f>
        <v>94.08</v>
      </c>
      <c r="M30">
        <v>950</v>
      </c>
      <c r="N30">
        <f>M30/144</f>
        <v>6.5972222222222223</v>
      </c>
      <c r="O30" s="43"/>
    </row>
    <row r="31" spans="1:15" x14ac:dyDescent="0.3">
      <c r="A31" s="12"/>
      <c r="B31" s="22" t="s">
        <v>215</v>
      </c>
      <c r="C31" s="14" t="s">
        <v>92</v>
      </c>
      <c r="D31" s="14" t="s">
        <v>43</v>
      </c>
      <c r="E31" s="14">
        <v>2</v>
      </c>
      <c r="F31" s="12">
        <f>E31*F11</f>
        <v>2</v>
      </c>
      <c r="G31" s="14">
        <v>40</v>
      </c>
      <c r="H31" s="12">
        <f t="shared" si="0"/>
        <v>80</v>
      </c>
      <c r="I31" s="38">
        <f t="shared" si="1"/>
        <v>80</v>
      </c>
      <c r="J31" s="39">
        <v>0.12</v>
      </c>
      <c r="K31" s="40">
        <f t="shared" si="2"/>
        <v>9.6</v>
      </c>
      <c r="L31" s="41">
        <f t="shared" si="3"/>
        <v>89.6</v>
      </c>
      <c r="M31" s="43"/>
    </row>
    <row r="32" spans="1:15" x14ac:dyDescent="0.3">
      <c r="A32" s="12"/>
      <c r="B32" s="22" t="s">
        <v>216</v>
      </c>
      <c r="C32" s="14" t="s">
        <v>218</v>
      </c>
      <c r="D32" s="14" t="s">
        <v>43</v>
      </c>
      <c r="E32" s="14">
        <v>2</v>
      </c>
      <c r="F32" s="12">
        <f>E32*F11</f>
        <v>2</v>
      </c>
      <c r="G32" s="14">
        <v>18</v>
      </c>
      <c r="H32" s="12">
        <f t="shared" ref="H32" si="12">E32*G32</f>
        <v>36</v>
      </c>
      <c r="I32" s="38">
        <f t="shared" ref="I32" si="13">F32*G32</f>
        <v>36</v>
      </c>
      <c r="J32" s="39">
        <v>0.12</v>
      </c>
      <c r="K32" s="40">
        <f t="shared" ref="K32" si="14">I32*J32</f>
        <v>4.32</v>
      </c>
      <c r="L32" s="41">
        <f t="shared" ref="L32" si="15">I32+K32</f>
        <v>40.32</v>
      </c>
    </row>
    <row r="33" spans="1:14" x14ac:dyDescent="0.3">
      <c r="A33" s="12"/>
      <c r="B33" s="22" t="s">
        <v>219</v>
      </c>
      <c r="C33" s="14" t="s">
        <v>218</v>
      </c>
      <c r="D33" s="14" t="s">
        <v>43</v>
      </c>
      <c r="E33" s="14">
        <v>4</v>
      </c>
      <c r="F33" s="12">
        <v>1.2</v>
      </c>
      <c r="G33" s="14">
        <v>18</v>
      </c>
      <c r="H33" s="12">
        <f t="shared" ref="H33" si="16">E33*G33</f>
        <v>72</v>
      </c>
      <c r="I33" s="38">
        <f t="shared" ref="I33" si="17">F33*G33</f>
        <v>21.599999999999998</v>
      </c>
      <c r="J33" s="39">
        <v>0.12</v>
      </c>
      <c r="K33" s="40">
        <f t="shared" ref="K33" si="18">I33*J33</f>
        <v>2.5919999999999996</v>
      </c>
      <c r="L33" s="41">
        <f t="shared" ref="L33" si="19">I33+K33</f>
        <v>24.191999999999997</v>
      </c>
      <c r="M33">
        <v>1200</v>
      </c>
      <c r="N33">
        <f>M33/1000</f>
        <v>1.2</v>
      </c>
    </row>
    <row r="34" spans="1:14" x14ac:dyDescent="0.3">
      <c r="A34" s="12"/>
      <c r="B34" s="22"/>
      <c r="C34" s="14"/>
      <c r="D34" s="14"/>
      <c r="E34" s="14"/>
      <c r="F34" s="12"/>
      <c r="G34" s="14"/>
      <c r="H34" s="12"/>
      <c r="I34" s="38"/>
      <c r="J34" s="39"/>
      <c r="K34" s="40"/>
      <c r="L34" s="41"/>
    </row>
    <row r="35" spans="1:14" x14ac:dyDescent="0.3">
      <c r="A35" s="12"/>
      <c r="B35" s="12" t="s">
        <v>46</v>
      </c>
      <c r="C35" s="14" t="s">
        <v>36</v>
      </c>
      <c r="D35" s="14" t="s">
        <v>43</v>
      </c>
      <c r="E35" s="14">
        <v>1</v>
      </c>
      <c r="F35" s="12">
        <f>E35*F11</f>
        <v>1</v>
      </c>
      <c r="G35" s="14">
        <v>250</v>
      </c>
      <c r="H35" s="37">
        <f t="shared" ref="H35" si="20">E35*G35</f>
        <v>250</v>
      </c>
      <c r="I35" s="38">
        <f t="shared" ref="I35" si="21">F35*G35</f>
        <v>250</v>
      </c>
      <c r="J35" s="39">
        <v>0.12</v>
      </c>
      <c r="K35" s="40">
        <f t="shared" ref="K35" si="22">I35*J35</f>
        <v>30</v>
      </c>
      <c r="L35" s="41">
        <f t="shared" ref="L35" si="23">I35+K35</f>
        <v>280</v>
      </c>
    </row>
    <row r="36" spans="1:14" x14ac:dyDescent="0.3">
      <c r="A36" s="12"/>
      <c r="B36" s="12"/>
      <c r="C36" s="14"/>
      <c r="D36" s="14"/>
      <c r="E36" s="14"/>
      <c r="F36" s="12"/>
      <c r="G36" s="14"/>
      <c r="H36" s="37"/>
      <c r="I36" s="38"/>
      <c r="J36" s="39"/>
      <c r="K36" s="40"/>
      <c r="L36" s="41"/>
    </row>
    <row r="37" spans="1:14" x14ac:dyDescent="0.3">
      <c r="A37" s="12" t="s">
        <v>47</v>
      </c>
      <c r="B37" s="12" t="s">
        <v>48</v>
      </c>
      <c r="C37" s="14" t="s">
        <v>36</v>
      </c>
      <c r="D37" s="14" t="s">
        <v>43</v>
      </c>
      <c r="E37" s="14">
        <v>1</v>
      </c>
      <c r="F37" s="41">
        <f>E37*F11</f>
        <v>1</v>
      </c>
      <c r="G37" s="14">
        <v>12</v>
      </c>
      <c r="H37" s="37">
        <f>E37*G37</f>
        <v>12</v>
      </c>
      <c r="I37" s="38">
        <f>F37*G37</f>
        <v>12</v>
      </c>
      <c r="J37" s="39">
        <v>0.12</v>
      </c>
      <c r="K37" s="40">
        <f>I37*J37</f>
        <v>1.44</v>
      </c>
      <c r="L37" s="41">
        <f>I37+K37</f>
        <v>13.44</v>
      </c>
    </row>
    <row r="38" spans="1:14" x14ac:dyDescent="0.3">
      <c r="A38" s="12"/>
      <c r="B38" s="12" t="s">
        <v>49</v>
      </c>
      <c r="C38" s="14" t="s">
        <v>36</v>
      </c>
      <c r="D38" s="14" t="s">
        <v>43</v>
      </c>
      <c r="E38" s="14">
        <v>1</v>
      </c>
      <c r="F38" s="41">
        <f>E38*F11</f>
        <v>1</v>
      </c>
      <c r="G38" s="14">
        <v>3.5</v>
      </c>
      <c r="H38" s="37">
        <f>E38*G38</f>
        <v>3.5</v>
      </c>
      <c r="I38" s="38">
        <f>F38*G38</f>
        <v>3.5</v>
      </c>
      <c r="J38" s="39">
        <v>0.12</v>
      </c>
      <c r="K38" s="40">
        <f>I38*J38</f>
        <v>0.42</v>
      </c>
      <c r="L38" s="41">
        <f>I38+K38</f>
        <v>3.92</v>
      </c>
    </row>
    <row r="39" spans="1:14" x14ac:dyDescent="0.3">
      <c r="A39" s="9"/>
      <c r="B39" s="12" t="s">
        <v>50</v>
      </c>
      <c r="C39" s="14" t="s">
        <v>36</v>
      </c>
      <c r="D39" s="14" t="s">
        <v>43</v>
      </c>
      <c r="E39" s="14">
        <v>1</v>
      </c>
      <c r="F39" s="41">
        <f>E39*F11</f>
        <v>1</v>
      </c>
      <c r="G39" s="14">
        <v>4</v>
      </c>
      <c r="H39" s="37">
        <v>4</v>
      </c>
      <c r="I39" s="38">
        <f>F39*G39</f>
        <v>4</v>
      </c>
      <c r="J39" s="39">
        <v>0.12</v>
      </c>
      <c r="K39" s="40">
        <f>I39*J39</f>
        <v>0.48</v>
      </c>
      <c r="L39" s="41">
        <f>I39+K39</f>
        <v>4.4800000000000004</v>
      </c>
    </row>
    <row r="40" spans="1:14" x14ac:dyDescent="0.3">
      <c r="A40" s="9"/>
      <c r="B40" s="12"/>
      <c r="C40" s="14"/>
      <c r="D40" s="14"/>
      <c r="E40" s="14"/>
      <c r="F40" s="41"/>
      <c r="G40" s="14"/>
      <c r="H40" s="12"/>
      <c r="I40" s="41"/>
      <c r="J40" s="39"/>
      <c r="K40" s="41"/>
      <c r="L40" s="41"/>
    </row>
    <row r="41" spans="1:14" ht="39.6" x14ac:dyDescent="0.3">
      <c r="A41" s="44" t="s">
        <v>51</v>
      </c>
      <c r="B41" s="21" t="s">
        <v>52</v>
      </c>
      <c r="C41" s="23" t="s">
        <v>36</v>
      </c>
      <c r="D41" s="23" t="s">
        <v>43</v>
      </c>
      <c r="E41" s="23">
        <v>1</v>
      </c>
      <c r="F41" s="45">
        <f>F11*E41</f>
        <v>1</v>
      </c>
      <c r="G41" s="23">
        <v>12</v>
      </c>
      <c r="H41" s="46">
        <f t="shared" ref="H41:H46" si="24">E41*G41</f>
        <v>12</v>
      </c>
      <c r="I41" s="47">
        <f t="shared" ref="I41:I45" si="25">F41*G41</f>
        <v>12</v>
      </c>
      <c r="J41" s="48">
        <v>0.18</v>
      </c>
      <c r="K41" s="49">
        <f t="shared" ref="K41:K46" si="26">I41*J41</f>
        <v>2.16</v>
      </c>
      <c r="L41" s="45">
        <f t="shared" ref="L41:L47" si="27">I41+K41</f>
        <v>14.16</v>
      </c>
    </row>
    <row r="42" spans="1:14" x14ac:dyDescent="0.3">
      <c r="A42" s="12"/>
      <c r="B42" s="12" t="s">
        <v>53</v>
      </c>
      <c r="C42" s="14" t="s">
        <v>36</v>
      </c>
      <c r="D42" s="14" t="s">
        <v>43</v>
      </c>
      <c r="E42" s="14">
        <v>1</v>
      </c>
      <c r="F42" s="41">
        <f>E42*F11</f>
        <v>1</v>
      </c>
      <c r="G42" s="14">
        <v>0</v>
      </c>
      <c r="H42" s="37">
        <f t="shared" si="24"/>
        <v>0</v>
      </c>
      <c r="I42" s="38">
        <f t="shared" si="25"/>
        <v>0</v>
      </c>
      <c r="J42" s="39">
        <v>0.18</v>
      </c>
      <c r="K42" s="40">
        <f t="shared" si="26"/>
        <v>0</v>
      </c>
      <c r="L42" s="41">
        <f t="shared" si="27"/>
        <v>0</v>
      </c>
    </row>
    <row r="43" spans="1:14" x14ac:dyDescent="0.3">
      <c r="A43" s="12"/>
      <c r="B43" s="12" t="s">
        <v>54</v>
      </c>
      <c r="C43" s="14" t="s">
        <v>36</v>
      </c>
      <c r="D43" s="14" t="s">
        <v>55</v>
      </c>
      <c r="E43" s="14">
        <v>1</v>
      </c>
      <c r="F43" s="41">
        <f>E43*F11</f>
        <v>1</v>
      </c>
      <c r="G43" s="14">
        <v>0</v>
      </c>
      <c r="H43" s="37">
        <f t="shared" si="24"/>
        <v>0</v>
      </c>
      <c r="I43" s="38">
        <f t="shared" si="25"/>
        <v>0</v>
      </c>
      <c r="J43" s="39">
        <v>0.18</v>
      </c>
      <c r="K43" s="40">
        <f t="shared" si="26"/>
        <v>0</v>
      </c>
      <c r="L43" s="41">
        <f t="shared" si="27"/>
        <v>0</v>
      </c>
    </row>
    <row r="44" spans="1:14" x14ac:dyDescent="0.3">
      <c r="A44" s="12"/>
      <c r="B44" s="12" t="s">
        <v>56</v>
      </c>
      <c r="C44" s="14" t="s">
        <v>36</v>
      </c>
      <c r="D44" s="14" t="s">
        <v>55</v>
      </c>
      <c r="E44" s="14">
        <v>0.2</v>
      </c>
      <c r="F44" s="41">
        <f>E44*F11</f>
        <v>0.2</v>
      </c>
      <c r="G44" s="14">
        <v>115</v>
      </c>
      <c r="H44" s="37">
        <v>15</v>
      </c>
      <c r="I44" s="38">
        <f>H44*F11</f>
        <v>15</v>
      </c>
      <c r="J44" s="39">
        <v>0.18</v>
      </c>
      <c r="K44" s="40">
        <f t="shared" si="26"/>
        <v>2.6999999999999997</v>
      </c>
      <c r="L44" s="41">
        <f t="shared" si="27"/>
        <v>17.7</v>
      </c>
    </row>
    <row r="45" spans="1:14" x14ac:dyDescent="0.3">
      <c r="A45" s="12"/>
      <c r="B45" s="12" t="s">
        <v>57</v>
      </c>
      <c r="C45" s="14" t="s">
        <v>36</v>
      </c>
      <c r="D45" s="14" t="s">
        <v>58</v>
      </c>
      <c r="E45" s="14">
        <v>2</v>
      </c>
      <c r="F45" s="41">
        <f>E45*F11</f>
        <v>2</v>
      </c>
      <c r="G45" s="14">
        <v>1.35</v>
      </c>
      <c r="H45" s="37">
        <f t="shared" si="24"/>
        <v>2.7</v>
      </c>
      <c r="I45" s="38">
        <f t="shared" si="25"/>
        <v>2.7</v>
      </c>
      <c r="J45" s="39">
        <v>0.18</v>
      </c>
      <c r="K45" s="40">
        <f t="shared" si="26"/>
        <v>0.48599999999999999</v>
      </c>
      <c r="L45" s="41">
        <f t="shared" si="27"/>
        <v>3.1859999999999999</v>
      </c>
    </row>
    <row r="46" spans="1:14" x14ac:dyDescent="0.3">
      <c r="A46" s="12"/>
      <c r="B46" s="12" t="s">
        <v>59</v>
      </c>
      <c r="C46" s="14" t="s">
        <v>36</v>
      </c>
      <c r="D46" s="14" t="s">
        <v>43</v>
      </c>
      <c r="E46" s="14">
        <v>7.0000000000000007E-2</v>
      </c>
      <c r="F46" s="41">
        <f>E46*F11</f>
        <v>7.0000000000000007E-2</v>
      </c>
      <c r="G46" s="14">
        <v>168</v>
      </c>
      <c r="H46" s="37">
        <f t="shared" si="24"/>
        <v>11.760000000000002</v>
      </c>
      <c r="I46" s="38">
        <f>F46*G46</f>
        <v>11.760000000000002</v>
      </c>
      <c r="J46" s="39">
        <v>0.18</v>
      </c>
      <c r="K46" s="40">
        <f t="shared" si="26"/>
        <v>2.1168</v>
      </c>
      <c r="L46" s="41">
        <f t="shared" si="27"/>
        <v>13.876800000000001</v>
      </c>
    </row>
    <row r="47" spans="1:14" x14ac:dyDescent="0.3">
      <c r="A47" s="12"/>
      <c r="B47" s="12" t="s">
        <v>60</v>
      </c>
      <c r="C47" s="14" t="s">
        <v>61</v>
      </c>
      <c r="D47" s="14" t="s">
        <v>62</v>
      </c>
      <c r="E47" s="14">
        <f>0.1</f>
        <v>0.1</v>
      </c>
      <c r="F47" s="41">
        <f>E47*F11</f>
        <v>0.1</v>
      </c>
      <c r="G47" s="14">
        <v>54</v>
      </c>
      <c r="H47" s="37">
        <f>E47*G47</f>
        <v>5.4</v>
      </c>
      <c r="I47" s="38">
        <f>F47*G47</f>
        <v>5.4</v>
      </c>
      <c r="J47" s="39">
        <v>0.18</v>
      </c>
      <c r="K47" s="40">
        <f>I47*J47</f>
        <v>0.97199999999999998</v>
      </c>
      <c r="L47" s="41">
        <f t="shared" si="27"/>
        <v>6.3719999999999999</v>
      </c>
    </row>
    <row r="48" spans="1:14" x14ac:dyDescent="0.3">
      <c r="A48" s="12"/>
      <c r="B48" s="12"/>
      <c r="C48" s="14"/>
      <c r="D48" s="14"/>
      <c r="E48" s="14"/>
      <c r="F48" s="41"/>
      <c r="G48" s="14"/>
      <c r="H48" s="50">
        <f>SUM(H16:H47)</f>
        <v>1049.8781250000002</v>
      </c>
      <c r="I48" s="50">
        <f>SUM(I16:I47)</f>
        <v>999.47812500000009</v>
      </c>
      <c r="J48" s="51"/>
      <c r="K48" s="52">
        <f>SUM(K16:K47)</f>
        <v>126.57566250000001</v>
      </c>
      <c r="L48" s="53">
        <f>SUM(L16:L47)</f>
        <v>1126.0537875000005</v>
      </c>
    </row>
    <row r="49" spans="1:12" x14ac:dyDescent="0.3">
      <c r="A49" s="12" t="s">
        <v>63</v>
      </c>
      <c r="B49" s="12" t="s">
        <v>64</v>
      </c>
      <c r="C49" s="15"/>
      <c r="D49" s="14" t="s">
        <v>43</v>
      </c>
      <c r="E49" s="14">
        <f>C49*1%</f>
        <v>0</v>
      </c>
      <c r="F49" s="41">
        <f>F11</f>
        <v>1</v>
      </c>
      <c r="G49" s="14">
        <f>E49</f>
        <v>0</v>
      </c>
      <c r="H49" s="38">
        <f>G49</f>
        <v>0</v>
      </c>
      <c r="I49" s="38">
        <f>H49*F49</f>
        <v>0</v>
      </c>
      <c r="J49" s="39">
        <v>0.18</v>
      </c>
      <c r="K49" s="40">
        <f t="shared" ref="K49:K57" si="28">I49*J49</f>
        <v>0</v>
      </c>
      <c r="L49" s="41">
        <f t="shared" ref="L49:L57" si="29">I49+K49</f>
        <v>0</v>
      </c>
    </row>
    <row r="50" spans="1:12" x14ac:dyDescent="0.3">
      <c r="A50" s="12"/>
      <c r="B50" s="12" t="s">
        <v>65</v>
      </c>
      <c r="C50" s="15"/>
      <c r="D50" s="14" t="s">
        <v>43</v>
      </c>
      <c r="E50" s="14">
        <f>C50*1%</f>
        <v>0</v>
      </c>
      <c r="F50" s="41">
        <f>F11</f>
        <v>1</v>
      </c>
      <c r="G50" s="14">
        <f>E50</f>
        <v>0</v>
      </c>
      <c r="H50" s="38">
        <f>G50</f>
        <v>0</v>
      </c>
      <c r="I50" s="38">
        <f>H50*F50</f>
        <v>0</v>
      </c>
      <c r="J50" s="39">
        <v>0.18</v>
      </c>
      <c r="K50" s="40">
        <f t="shared" si="28"/>
        <v>0</v>
      </c>
      <c r="L50" s="41">
        <f t="shared" si="29"/>
        <v>0</v>
      </c>
    </row>
    <row r="51" spans="1:12" x14ac:dyDescent="0.3">
      <c r="A51" s="12"/>
      <c r="B51" s="12" t="s">
        <v>66</v>
      </c>
      <c r="C51" s="15"/>
      <c r="D51" s="14" t="s">
        <v>43</v>
      </c>
      <c r="E51" s="14">
        <f>C51*5%</f>
        <v>0</v>
      </c>
      <c r="F51" s="41">
        <f>F11</f>
        <v>1</v>
      </c>
      <c r="G51" s="14">
        <f t="shared" ref="G51:G56" si="30">E51</f>
        <v>0</v>
      </c>
      <c r="H51" s="38">
        <f t="shared" ref="H51:H56" si="31">G51</f>
        <v>0</v>
      </c>
      <c r="I51" s="38">
        <f>H51*F51</f>
        <v>0</v>
      </c>
      <c r="J51" s="39"/>
      <c r="K51" s="40">
        <f t="shared" si="28"/>
        <v>0</v>
      </c>
      <c r="L51" s="41">
        <f t="shared" si="29"/>
        <v>0</v>
      </c>
    </row>
    <row r="52" spans="1:12" x14ac:dyDescent="0.3">
      <c r="A52" s="12"/>
      <c r="B52" s="12" t="s">
        <v>67</v>
      </c>
      <c r="C52" s="15"/>
      <c r="D52" s="14" t="s">
        <v>43</v>
      </c>
      <c r="E52" s="14">
        <f>C52*7%</f>
        <v>0</v>
      </c>
      <c r="F52" s="41">
        <f>F11</f>
        <v>1</v>
      </c>
      <c r="G52" s="14">
        <f t="shared" si="30"/>
        <v>0</v>
      </c>
      <c r="H52" s="38">
        <f t="shared" si="31"/>
        <v>0</v>
      </c>
      <c r="I52" s="38">
        <f>H52*F52</f>
        <v>0</v>
      </c>
      <c r="J52" s="12"/>
      <c r="K52" s="40">
        <f t="shared" si="28"/>
        <v>0</v>
      </c>
      <c r="L52" s="41">
        <f t="shared" si="29"/>
        <v>0</v>
      </c>
    </row>
    <row r="53" spans="1:12" x14ac:dyDescent="0.3">
      <c r="A53" s="9" t="s">
        <v>68</v>
      </c>
      <c r="B53" s="12" t="s">
        <v>69</v>
      </c>
      <c r="C53" s="15"/>
      <c r="D53" s="14" t="s">
        <v>43</v>
      </c>
      <c r="E53" s="14">
        <f>C53*2.5%</f>
        <v>0</v>
      </c>
      <c r="F53" s="41">
        <f>F11</f>
        <v>1</v>
      </c>
      <c r="G53" s="14">
        <f t="shared" si="30"/>
        <v>0</v>
      </c>
      <c r="H53" s="38">
        <f t="shared" si="31"/>
        <v>0</v>
      </c>
      <c r="I53" s="38">
        <f t="shared" ref="I53:I57" si="32">H53*F53</f>
        <v>0</v>
      </c>
      <c r="J53" s="12"/>
      <c r="K53" s="40">
        <f t="shared" si="28"/>
        <v>0</v>
      </c>
      <c r="L53" s="41">
        <f t="shared" si="29"/>
        <v>0</v>
      </c>
    </row>
    <row r="54" spans="1:12" x14ac:dyDescent="0.3">
      <c r="A54" s="12"/>
      <c r="B54" s="12" t="s">
        <v>70</v>
      </c>
      <c r="C54" s="15"/>
      <c r="D54" s="14" t="s">
        <v>43</v>
      </c>
      <c r="E54" s="14">
        <f>C54*2%</f>
        <v>0</v>
      </c>
      <c r="F54" s="41">
        <f>F11</f>
        <v>1</v>
      </c>
      <c r="G54" s="14">
        <f t="shared" si="30"/>
        <v>0</v>
      </c>
      <c r="H54" s="38">
        <f t="shared" si="31"/>
        <v>0</v>
      </c>
      <c r="I54" s="38">
        <f t="shared" si="32"/>
        <v>0</v>
      </c>
      <c r="J54" s="12"/>
      <c r="K54" s="40">
        <f t="shared" si="28"/>
        <v>0</v>
      </c>
      <c r="L54" s="41">
        <f t="shared" si="29"/>
        <v>0</v>
      </c>
    </row>
    <row r="55" spans="1:12" x14ac:dyDescent="0.3">
      <c r="A55" s="12"/>
      <c r="B55" s="12" t="s">
        <v>71</v>
      </c>
      <c r="C55" s="15"/>
      <c r="D55" s="14" t="s">
        <v>43</v>
      </c>
      <c r="E55" s="14">
        <v>1200</v>
      </c>
      <c r="F55" s="41">
        <f>F11</f>
        <v>1</v>
      </c>
      <c r="G55" s="14">
        <f t="shared" si="30"/>
        <v>1200</v>
      </c>
      <c r="H55" s="38">
        <f t="shared" si="31"/>
        <v>1200</v>
      </c>
      <c r="I55" s="38">
        <f t="shared" si="32"/>
        <v>1200</v>
      </c>
      <c r="J55" s="12"/>
      <c r="K55" s="40">
        <f t="shared" si="28"/>
        <v>0</v>
      </c>
      <c r="L55" s="41">
        <f t="shared" si="29"/>
        <v>1200</v>
      </c>
    </row>
    <row r="56" spans="1:12" x14ac:dyDescent="0.3">
      <c r="A56" s="12"/>
      <c r="B56" s="12" t="s">
        <v>240</v>
      </c>
      <c r="C56" s="15">
        <f>B62</f>
        <v>6375</v>
      </c>
      <c r="D56" s="14" t="s">
        <v>43</v>
      </c>
      <c r="E56" s="14">
        <f>C56*3%</f>
        <v>191.25</v>
      </c>
      <c r="F56" s="41">
        <f>F11</f>
        <v>1</v>
      </c>
      <c r="G56" s="14">
        <f t="shared" si="30"/>
        <v>191.25</v>
      </c>
      <c r="H56" s="38">
        <f t="shared" si="31"/>
        <v>191.25</v>
      </c>
      <c r="I56" s="38">
        <f t="shared" si="32"/>
        <v>191.25</v>
      </c>
      <c r="J56" s="12"/>
      <c r="K56" s="40">
        <f t="shared" si="28"/>
        <v>0</v>
      </c>
      <c r="L56" s="41">
        <f t="shared" si="29"/>
        <v>191.25</v>
      </c>
    </row>
    <row r="57" spans="1:12" x14ac:dyDescent="0.3">
      <c r="A57" s="12" t="s">
        <v>73</v>
      </c>
      <c r="B57" s="54" t="s">
        <v>74</v>
      </c>
      <c r="C57" s="55"/>
      <c r="D57" s="55" t="s">
        <v>43</v>
      </c>
      <c r="E57" s="55">
        <v>420</v>
      </c>
      <c r="F57" s="41">
        <f>F11</f>
        <v>1</v>
      </c>
      <c r="G57" s="55">
        <v>420</v>
      </c>
      <c r="H57" s="56">
        <v>420</v>
      </c>
      <c r="I57" s="38">
        <f t="shared" si="32"/>
        <v>420</v>
      </c>
      <c r="J57" s="54"/>
      <c r="K57" s="57">
        <f t="shared" si="28"/>
        <v>0</v>
      </c>
      <c r="L57" s="58">
        <f t="shared" si="29"/>
        <v>420</v>
      </c>
    </row>
    <row r="58" spans="1:12" x14ac:dyDescent="0.3">
      <c r="A58" s="2"/>
      <c r="B58" s="2"/>
      <c r="C58" s="1"/>
      <c r="D58" s="1"/>
      <c r="E58" s="1"/>
      <c r="F58" s="59">
        <f>F11</f>
        <v>1</v>
      </c>
      <c r="G58" s="1"/>
      <c r="H58" s="59">
        <f>SUM(H48:H57)</f>
        <v>2861.1281250000002</v>
      </c>
      <c r="I58" s="59">
        <f>SUM(I48:I57)</f>
        <v>2810.7281250000001</v>
      </c>
      <c r="J58" s="60"/>
      <c r="K58" s="59">
        <f>SUM(K48:K57)</f>
        <v>126.57566250000001</v>
      </c>
      <c r="L58" s="59">
        <f>SUM(L48:L57)</f>
        <v>2937.3037875000005</v>
      </c>
    </row>
    <row r="59" spans="1:12" x14ac:dyDescent="0.3">
      <c r="A59" s="2"/>
      <c r="B59" s="2"/>
      <c r="C59" s="1"/>
      <c r="D59" s="1"/>
      <c r="E59" s="1"/>
      <c r="F59" s="2"/>
      <c r="G59" s="1"/>
      <c r="H59" s="61"/>
      <c r="I59" s="61"/>
    </row>
    <row r="60" spans="1:12" ht="46.2" customHeight="1" x14ac:dyDescent="0.3">
      <c r="A60" s="2"/>
      <c r="B60" s="2"/>
      <c r="C60" s="1"/>
      <c r="D60" s="1"/>
      <c r="E60" s="1"/>
      <c r="F60" s="2"/>
      <c r="G60" s="62" t="s">
        <v>75</v>
      </c>
      <c r="H60" s="2"/>
      <c r="I60" s="2"/>
      <c r="J60" s="2"/>
      <c r="K60" s="61"/>
      <c r="L60" s="2"/>
    </row>
    <row r="61" spans="1:12" ht="18" x14ac:dyDescent="0.35">
      <c r="A61" s="63" t="s">
        <v>76</v>
      </c>
      <c r="B61" s="64">
        <v>75</v>
      </c>
      <c r="C61" s="122" t="s">
        <v>77</v>
      </c>
      <c r="D61" s="122"/>
      <c r="E61" s="122"/>
      <c r="F61" s="122"/>
      <c r="G61" s="65">
        <f>G13</f>
        <v>3562.5</v>
      </c>
      <c r="H61" s="1"/>
      <c r="I61" s="1"/>
      <c r="J61" s="2"/>
      <c r="K61" s="2"/>
      <c r="L61" s="2"/>
    </row>
    <row r="62" spans="1:12" ht="18" x14ac:dyDescent="0.35">
      <c r="A62" s="63">
        <v>85</v>
      </c>
      <c r="B62" s="63">
        <f>B61*A62</f>
        <v>6375</v>
      </c>
      <c r="C62" s="122" t="s">
        <v>78</v>
      </c>
      <c r="D62" s="122"/>
      <c r="E62" s="122"/>
      <c r="F62" s="122"/>
      <c r="G62" s="65">
        <f>I58/F11</f>
        <v>2810.7281250000001</v>
      </c>
      <c r="H62" s="1"/>
      <c r="I62" s="1"/>
      <c r="J62" s="2"/>
      <c r="K62" s="2"/>
      <c r="L62" s="2"/>
    </row>
    <row r="63" spans="1:12" x14ac:dyDescent="0.3">
      <c r="A63" s="2"/>
      <c r="B63" s="2"/>
      <c r="C63" s="130" t="s">
        <v>79</v>
      </c>
      <c r="D63" s="130"/>
      <c r="E63" s="130"/>
      <c r="F63" s="130"/>
      <c r="G63" s="67">
        <f>SUM(G61:G62)</f>
        <v>6373.2281249999996</v>
      </c>
      <c r="H63" s="1"/>
      <c r="I63" s="1"/>
      <c r="J63" s="2"/>
      <c r="K63" s="2"/>
      <c r="L63" s="2"/>
    </row>
    <row r="64" spans="1:12" ht="14.4" customHeight="1" x14ac:dyDescent="0.35">
      <c r="A64" s="63" t="s">
        <v>76</v>
      </c>
      <c r="B64" s="64">
        <f>H65</f>
        <v>67.086611842105256</v>
      </c>
      <c r="C64" s="2"/>
      <c r="G64" s="1"/>
      <c r="H64" s="1"/>
      <c r="I64" s="1"/>
      <c r="J64" s="2"/>
      <c r="K64" s="2"/>
      <c r="L64" s="2"/>
    </row>
    <row r="65" spans="1:12" ht="14.4" customHeight="1" x14ac:dyDescent="0.35">
      <c r="A65" s="63">
        <v>95</v>
      </c>
      <c r="B65" s="64">
        <f>B64*A65</f>
        <v>6373.2281249999996</v>
      </c>
      <c r="C65" s="2"/>
      <c r="G65" s="68">
        <f>G63/A62</f>
        <v>74.979154411764696</v>
      </c>
      <c r="H65" s="69">
        <f>G63/A65</f>
        <v>67.086611842105256</v>
      </c>
      <c r="I65" s="1"/>
      <c r="J65" s="2"/>
      <c r="K65" s="2"/>
      <c r="L65" s="2"/>
    </row>
    <row r="66" spans="1:12" ht="14.4" customHeight="1" x14ac:dyDescent="0.3">
      <c r="A66" s="2"/>
      <c r="B66" s="109"/>
      <c r="D66" s="70" t="s">
        <v>80</v>
      </c>
      <c r="E66" s="1"/>
      <c r="F66" s="71"/>
      <c r="G66" s="71"/>
      <c r="H66" s="1"/>
      <c r="I66" s="1"/>
      <c r="J66" s="2"/>
      <c r="K66" s="2"/>
      <c r="L66" s="2"/>
    </row>
    <row r="67" spans="1:12" ht="14.4" customHeight="1" x14ac:dyDescent="0.3">
      <c r="A67" s="2"/>
      <c r="B67" s="109"/>
      <c r="D67" s="72" t="s">
        <v>81</v>
      </c>
      <c r="E67" s="73">
        <f>I58/F58</f>
        <v>2810.7281250000001</v>
      </c>
      <c r="F67" s="74" t="s">
        <v>20</v>
      </c>
      <c r="G67" s="71"/>
      <c r="H67" s="1"/>
      <c r="I67" s="1"/>
      <c r="J67" s="2"/>
      <c r="K67" s="2"/>
      <c r="L67" s="2"/>
    </row>
    <row r="68" spans="1:12" x14ac:dyDescent="0.3">
      <c r="A68" s="2"/>
      <c r="B68" s="75"/>
      <c r="C68" s="2"/>
      <c r="D68" s="72" t="s">
        <v>21</v>
      </c>
      <c r="E68" s="73">
        <f>L58/F58</f>
        <v>2937.3037875000005</v>
      </c>
      <c r="F68" s="74" t="s">
        <v>20</v>
      </c>
      <c r="G68" s="71"/>
      <c r="H68" s="1"/>
      <c r="I68" s="1"/>
      <c r="J68" s="2"/>
      <c r="K68" s="2"/>
      <c r="L68" s="2"/>
    </row>
    <row r="69" spans="1:12" x14ac:dyDescent="0.3">
      <c r="A69" s="2"/>
      <c r="B69" s="2"/>
      <c r="C69" s="1"/>
      <c r="D69" s="76"/>
      <c r="E69" s="71"/>
      <c r="F69" s="71"/>
      <c r="G69" s="1"/>
      <c r="H69" s="2"/>
      <c r="I69" s="2"/>
      <c r="J69" s="2"/>
      <c r="K69" s="2"/>
      <c r="L69" s="2"/>
    </row>
    <row r="70" spans="1:12" x14ac:dyDescent="0.3">
      <c r="D70" s="77" t="s">
        <v>21</v>
      </c>
      <c r="E70" s="78"/>
      <c r="F70" s="79" t="s">
        <v>19</v>
      </c>
    </row>
    <row r="71" spans="1:12" x14ac:dyDescent="0.3">
      <c r="B71" s="122" t="s">
        <v>82</v>
      </c>
      <c r="C71" s="122"/>
      <c r="D71" s="65">
        <f>G14</f>
        <v>3990</v>
      </c>
      <c r="E71" s="75"/>
      <c r="F71" s="80">
        <f>G13</f>
        <v>3562.5</v>
      </c>
    </row>
    <row r="72" spans="1:12" x14ac:dyDescent="0.3">
      <c r="B72" s="124" t="s">
        <v>83</v>
      </c>
      <c r="C72" s="125"/>
      <c r="D72" s="65">
        <f>E68</f>
        <v>2937.3037875000005</v>
      </c>
      <c r="E72" s="75"/>
      <c r="F72" s="80">
        <f>E67</f>
        <v>2810.7281250000001</v>
      </c>
    </row>
    <row r="73" spans="1:12" x14ac:dyDescent="0.3">
      <c r="B73" s="66" t="s">
        <v>79</v>
      </c>
      <c r="C73" s="66"/>
      <c r="D73" s="67">
        <f>SUM(D71:D72)</f>
        <v>6927.3037875000009</v>
      </c>
      <c r="E73" s="78"/>
      <c r="F73" s="81">
        <f>SUM(F71:F72)</f>
        <v>6373.2281249999996</v>
      </c>
    </row>
    <row r="74" spans="1:12" x14ac:dyDescent="0.3">
      <c r="D74" s="82"/>
      <c r="E74" s="1"/>
      <c r="F74" s="71"/>
    </row>
    <row r="75" spans="1:12" x14ac:dyDescent="0.3">
      <c r="D75" s="68">
        <f>D73/A62</f>
        <v>81.497691617647064</v>
      </c>
      <c r="E75" s="1"/>
      <c r="F75" s="68">
        <f>F73/A62</f>
        <v>74.979154411764696</v>
      </c>
    </row>
    <row r="82" spans="4:4" x14ac:dyDescent="0.3">
      <c r="D82" s="43"/>
    </row>
    <row r="83" spans="4:4" x14ac:dyDescent="0.3">
      <c r="D83" s="43"/>
    </row>
    <row r="84" spans="4:4" x14ac:dyDescent="0.3">
      <c r="D84" s="43"/>
    </row>
    <row r="85" spans="4:4" x14ac:dyDescent="0.3">
      <c r="D85" s="43"/>
    </row>
    <row r="86" spans="4:4" x14ac:dyDescent="0.3">
      <c r="D86" s="43"/>
    </row>
  </sheetData>
  <mergeCells count="13">
    <mergeCell ref="L7:L8"/>
    <mergeCell ref="A1:F1"/>
    <mergeCell ref="A2:F2"/>
    <mergeCell ref="A3:F3"/>
    <mergeCell ref="A5:F5"/>
    <mergeCell ref="J7:K7"/>
    <mergeCell ref="B71:C71"/>
    <mergeCell ref="B72:C72"/>
    <mergeCell ref="D13:E13"/>
    <mergeCell ref="D14:E14"/>
    <mergeCell ref="C61:F61"/>
    <mergeCell ref="C62:F62"/>
    <mergeCell ref="C63:F63"/>
  </mergeCells>
  <pageMargins left="0.11811023622047245" right="0.11811023622047245" top="0.15748031496062992" bottom="0.15748031496062992" header="0.31496062992125984" footer="0.31496062992125984"/>
  <pageSetup paperSize="9" scale="90" orientation="landscape" verticalDpi="0" r:id="rId1"/>
  <ignoredErrors>
    <ignoredError sqref="I2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796F-1E9C-4340-A0B5-79E4829EF162}">
  <dimension ref="A1:O86"/>
  <sheetViews>
    <sheetView topLeftCell="A65" workbookViewId="0">
      <selection activeCell="B61" sqref="B61"/>
    </sheetView>
  </sheetViews>
  <sheetFormatPr defaultRowHeight="14.4" x14ac:dyDescent="0.3"/>
  <cols>
    <col min="1" max="1" width="9.6640625" bestFit="1" customWidth="1"/>
    <col min="2" max="2" width="41.21875" bestFit="1" customWidth="1"/>
    <col min="3" max="3" width="15" bestFit="1" customWidth="1"/>
    <col min="4" max="4" width="10.33203125" bestFit="1" customWidth="1"/>
    <col min="5" max="5" width="7.5546875" bestFit="1" customWidth="1"/>
    <col min="6" max="6" width="8.5546875" bestFit="1" customWidth="1"/>
    <col min="7" max="7" width="9.109375" style="43" bestFit="1" customWidth="1"/>
    <col min="8" max="8" width="8" bestFit="1" customWidth="1"/>
    <col min="9" max="9" width="10.44140625" bestFit="1" customWidth="1"/>
    <col min="10" max="10" width="5.44140625" bestFit="1" customWidth="1"/>
    <col min="11" max="11" width="9.44140625" bestFit="1" customWidth="1"/>
    <col min="12" max="12" width="10.44140625" bestFit="1" customWidth="1"/>
    <col min="13" max="13" width="5" bestFit="1" customWidth="1"/>
    <col min="14" max="14" width="7" bestFit="1" customWidth="1"/>
  </cols>
  <sheetData>
    <row r="1" spans="1:12" x14ac:dyDescent="0.3">
      <c r="A1" s="114" t="s">
        <v>0</v>
      </c>
      <c r="B1" s="115"/>
      <c r="C1" s="115"/>
      <c r="D1" s="115"/>
      <c r="E1" s="115"/>
      <c r="F1" s="115"/>
      <c r="G1" s="1"/>
      <c r="H1" s="2"/>
      <c r="I1" s="2"/>
      <c r="J1" s="2"/>
      <c r="K1" s="2"/>
      <c r="L1" s="2"/>
    </row>
    <row r="2" spans="1:12" x14ac:dyDescent="0.3">
      <c r="A2" s="114" t="s">
        <v>1</v>
      </c>
      <c r="B2" s="115"/>
      <c r="C2" s="115"/>
      <c r="D2" s="115"/>
      <c r="E2" s="115"/>
      <c r="F2" s="115"/>
      <c r="G2" s="1"/>
      <c r="H2" s="2"/>
      <c r="I2" s="2"/>
      <c r="J2" s="2"/>
      <c r="K2" s="2"/>
      <c r="L2" s="2"/>
    </row>
    <row r="3" spans="1:12" ht="18" x14ac:dyDescent="0.35">
      <c r="A3" s="116" t="s">
        <v>139</v>
      </c>
      <c r="B3" s="116"/>
      <c r="C3" s="116"/>
      <c r="D3" s="116"/>
      <c r="E3" s="116"/>
      <c r="F3" s="116"/>
      <c r="G3" s="3"/>
      <c r="H3" s="4"/>
      <c r="I3" s="4"/>
      <c r="J3" s="4"/>
      <c r="K3" s="4"/>
      <c r="L3" s="4"/>
    </row>
    <row r="4" spans="1:12" x14ac:dyDescent="0.3">
      <c r="G4" s="1"/>
      <c r="H4" s="2"/>
      <c r="I4" s="2"/>
      <c r="J4" s="2"/>
      <c r="K4" s="2"/>
      <c r="L4" s="2"/>
    </row>
    <row r="5" spans="1:12" ht="21" x14ac:dyDescent="0.4">
      <c r="A5" s="128" t="s">
        <v>2</v>
      </c>
      <c r="B5" s="129"/>
      <c r="C5" s="129"/>
      <c r="D5" s="129"/>
      <c r="E5" s="129"/>
      <c r="F5" s="129"/>
      <c r="G5" s="1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1"/>
      <c r="H6" s="2"/>
      <c r="I6" s="2"/>
      <c r="J6" s="2"/>
      <c r="K6" s="2"/>
      <c r="L6" s="2"/>
    </row>
    <row r="7" spans="1:12" ht="24" x14ac:dyDescent="0.3">
      <c r="A7" s="5" t="s">
        <v>3</v>
      </c>
      <c r="B7" s="6" t="s">
        <v>4</v>
      </c>
      <c r="C7" s="7" t="s">
        <v>5</v>
      </c>
      <c r="D7" s="7" t="s">
        <v>6</v>
      </c>
      <c r="E7" s="7" t="s">
        <v>7</v>
      </c>
      <c r="F7" s="6" t="s">
        <v>8</v>
      </c>
      <c r="G7" s="7" t="s">
        <v>9</v>
      </c>
      <c r="H7" s="8" t="s">
        <v>10</v>
      </c>
      <c r="I7" s="7" t="s">
        <v>11</v>
      </c>
      <c r="J7" s="117" t="s">
        <v>12</v>
      </c>
      <c r="K7" s="118"/>
      <c r="L7" s="119" t="s">
        <v>13</v>
      </c>
    </row>
    <row r="8" spans="1:12" x14ac:dyDescent="0.3">
      <c r="A8" s="9" t="s">
        <v>14</v>
      </c>
      <c r="B8" s="9"/>
      <c r="C8" s="10"/>
      <c r="D8" s="10"/>
      <c r="E8" s="10"/>
      <c r="F8" s="9"/>
      <c r="G8" s="10"/>
      <c r="H8" s="10"/>
      <c r="I8" s="10"/>
      <c r="J8" s="10" t="s">
        <v>15</v>
      </c>
      <c r="K8" s="11" t="s">
        <v>11</v>
      </c>
      <c r="L8" s="119"/>
    </row>
    <row r="9" spans="1:12" x14ac:dyDescent="0.3">
      <c r="A9" s="12"/>
      <c r="B9" s="13" t="s">
        <v>140</v>
      </c>
      <c r="C9" s="20" t="s">
        <v>115</v>
      </c>
      <c r="D9" s="14" t="s">
        <v>17</v>
      </c>
      <c r="E9" s="15">
        <v>165</v>
      </c>
      <c r="F9" s="15">
        <f>E9*F11</f>
        <v>165</v>
      </c>
      <c r="G9" s="14">
        <v>9.5</v>
      </c>
      <c r="H9" s="16">
        <f>F9*G9</f>
        <v>1567.5</v>
      </c>
      <c r="I9" s="17">
        <f>F9*G9</f>
        <v>1567.5</v>
      </c>
      <c r="J9" s="18">
        <v>0.12</v>
      </c>
      <c r="K9" s="19">
        <f>I9*J9</f>
        <v>188.1</v>
      </c>
      <c r="L9" s="15">
        <f>I9+K9</f>
        <v>1755.6</v>
      </c>
    </row>
    <row r="10" spans="1:12" x14ac:dyDescent="0.3">
      <c r="A10" s="12"/>
      <c r="B10" s="13"/>
      <c r="C10" s="20"/>
      <c r="D10" s="14"/>
      <c r="E10" s="15"/>
      <c r="F10" s="15"/>
      <c r="G10" s="14"/>
      <c r="H10" s="16"/>
      <c r="I10" s="17"/>
      <c r="J10" s="18"/>
      <c r="K10" s="19"/>
      <c r="L10" s="15"/>
    </row>
    <row r="11" spans="1:12" ht="18" x14ac:dyDescent="0.3">
      <c r="A11" s="21"/>
      <c r="B11" s="13" t="s">
        <v>143</v>
      </c>
      <c r="C11" s="22"/>
      <c r="D11" s="22"/>
      <c r="E11" s="23"/>
      <c r="F11" s="24">
        <v>1</v>
      </c>
      <c r="G11" s="23"/>
      <c r="H11" s="25">
        <f>SUM(H9:H9)</f>
        <v>1567.5</v>
      </c>
      <c r="I11" s="26">
        <f>SUM(I9:I9)</f>
        <v>1567.5</v>
      </c>
      <c r="J11" s="27"/>
      <c r="K11" s="28">
        <f>SUM(K9:K9)</f>
        <v>188.1</v>
      </c>
      <c r="L11" s="29">
        <f>SUM(L9:L9)</f>
        <v>1755.6</v>
      </c>
    </row>
    <row r="12" spans="1:12" x14ac:dyDescent="0.3">
      <c r="A12" s="21"/>
      <c r="B12" s="21"/>
      <c r="C12" s="23"/>
      <c r="D12" s="30"/>
      <c r="E12" s="31"/>
      <c r="F12" s="32"/>
      <c r="G12" s="23"/>
      <c r="H12" s="25"/>
      <c r="I12" s="26"/>
      <c r="J12" s="27"/>
      <c r="K12" s="28"/>
      <c r="L12" s="29"/>
    </row>
    <row r="13" spans="1:12" x14ac:dyDescent="0.3">
      <c r="A13" s="12"/>
      <c r="B13" s="12"/>
      <c r="C13" s="14"/>
      <c r="D13" s="120" t="s">
        <v>19</v>
      </c>
      <c r="E13" s="121"/>
      <c r="F13" s="35" t="s">
        <v>20</v>
      </c>
      <c r="G13" s="36">
        <f>I11/F11</f>
        <v>1567.5</v>
      </c>
      <c r="H13" s="37"/>
      <c r="I13" s="38"/>
      <c r="J13" s="39"/>
      <c r="K13" s="40"/>
      <c r="L13" s="41"/>
    </row>
    <row r="14" spans="1:12" x14ac:dyDescent="0.3">
      <c r="A14" s="12"/>
      <c r="B14" s="12"/>
      <c r="C14" s="14"/>
      <c r="D14" s="120" t="s">
        <v>21</v>
      </c>
      <c r="E14" s="121"/>
      <c r="F14" s="35" t="s">
        <v>20</v>
      </c>
      <c r="G14" s="36">
        <f>L11/F11</f>
        <v>1755.6</v>
      </c>
      <c r="H14" s="37"/>
      <c r="I14" s="38"/>
      <c r="J14" s="39"/>
      <c r="K14" s="40"/>
      <c r="L14" s="41"/>
    </row>
    <row r="15" spans="1:12" x14ac:dyDescent="0.3">
      <c r="A15" s="12"/>
      <c r="B15" s="12"/>
      <c r="C15" s="14"/>
      <c r="D15" s="33"/>
      <c r="E15" s="34"/>
      <c r="F15" s="35"/>
      <c r="G15" s="36"/>
      <c r="H15" s="37"/>
      <c r="I15" s="38"/>
      <c r="J15" s="39"/>
      <c r="K15" s="40"/>
      <c r="L15" s="41"/>
    </row>
    <row r="16" spans="1:12" x14ac:dyDescent="0.3">
      <c r="A16" s="9" t="s">
        <v>22</v>
      </c>
      <c r="B16" s="42"/>
      <c r="C16" s="14"/>
      <c r="D16" s="14"/>
      <c r="E16" s="14"/>
      <c r="F16" s="41"/>
      <c r="G16" s="14"/>
      <c r="H16" s="37"/>
      <c r="I16" s="38"/>
      <c r="J16" s="39"/>
      <c r="K16" s="40"/>
      <c r="L16" s="41"/>
    </row>
    <row r="17" spans="1:12" x14ac:dyDescent="0.3">
      <c r="A17" s="9"/>
      <c r="B17" s="42" t="s">
        <v>147</v>
      </c>
      <c r="C17" s="14" t="str">
        <f>C9</f>
        <v>DARK BROWN</v>
      </c>
      <c r="D17" s="14" t="s">
        <v>24</v>
      </c>
      <c r="E17" s="14">
        <v>0.5</v>
      </c>
      <c r="F17" s="41">
        <f>E17*F11</f>
        <v>0.5</v>
      </c>
      <c r="G17" s="14">
        <v>100</v>
      </c>
      <c r="H17" s="37">
        <f>E17*G17</f>
        <v>50</v>
      </c>
      <c r="I17" s="38">
        <f>F17*G17</f>
        <v>50</v>
      </c>
      <c r="J17" s="39">
        <v>0.12</v>
      </c>
      <c r="K17" s="40">
        <f>I17*J17</f>
        <v>6</v>
      </c>
      <c r="L17" s="41">
        <f>I17+K17</f>
        <v>56</v>
      </c>
    </row>
    <row r="18" spans="1:12" x14ac:dyDescent="0.3">
      <c r="A18" s="9"/>
      <c r="B18" s="42" t="s">
        <v>141</v>
      </c>
      <c r="C18" s="14" t="str">
        <f>C9</f>
        <v>DARK BROWN</v>
      </c>
      <c r="D18" s="14" t="s">
        <v>24</v>
      </c>
      <c r="E18" s="14">
        <v>1</v>
      </c>
      <c r="F18" s="41">
        <f>E18*F11</f>
        <v>1</v>
      </c>
      <c r="G18" s="14">
        <v>1000</v>
      </c>
      <c r="H18" s="37">
        <f>E18*G18</f>
        <v>1000</v>
      </c>
      <c r="I18" s="38">
        <f>F18*G18</f>
        <v>1000</v>
      </c>
      <c r="J18" s="39">
        <v>0.12</v>
      </c>
      <c r="K18" s="40">
        <f>I18*J18</f>
        <v>120</v>
      </c>
      <c r="L18" s="41">
        <f>I18+K18</f>
        <v>1120</v>
      </c>
    </row>
    <row r="19" spans="1:12" x14ac:dyDescent="0.3">
      <c r="A19" s="9"/>
      <c r="B19" s="42" t="s">
        <v>142</v>
      </c>
      <c r="C19" s="14" t="str">
        <f>C9</f>
        <v>DARK BROWN</v>
      </c>
      <c r="D19" s="14" t="s">
        <v>24</v>
      </c>
      <c r="E19" s="14">
        <v>1</v>
      </c>
      <c r="F19" s="41">
        <f>E19*F11</f>
        <v>1</v>
      </c>
      <c r="G19" s="14">
        <v>30</v>
      </c>
      <c r="H19" s="37">
        <f>E19*G19</f>
        <v>30</v>
      </c>
      <c r="I19" s="38">
        <f>F19*G19</f>
        <v>30</v>
      </c>
      <c r="J19" s="39">
        <v>0.12</v>
      </c>
      <c r="K19" s="40">
        <f>I19*J19</f>
        <v>3.5999999999999996</v>
      </c>
      <c r="L19" s="41">
        <f>I19+K19</f>
        <v>33.6</v>
      </c>
    </row>
    <row r="20" spans="1:12" x14ac:dyDescent="0.3">
      <c r="A20" s="9"/>
      <c r="B20" s="42"/>
      <c r="C20" s="14"/>
      <c r="D20" s="14"/>
      <c r="E20" s="14"/>
      <c r="F20" s="41"/>
      <c r="G20" s="14"/>
      <c r="H20" s="37"/>
      <c r="I20" s="38"/>
      <c r="J20" s="39"/>
      <c r="K20" s="40"/>
      <c r="L20" s="41"/>
    </row>
    <row r="21" spans="1:12" x14ac:dyDescent="0.3">
      <c r="A21" s="9" t="s">
        <v>26</v>
      </c>
      <c r="B21" s="12" t="s">
        <v>27</v>
      </c>
      <c r="C21" s="14" t="str">
        <f>C9</f>
        <v>DARK BROWN</v>
      </c>
      <c r="D21" s="14" t="s">
        <v>28</v>
      </c>
      <c r="E21" s="14">
        <v>100</v>
      </c>
      <c r="F21" s="41">
        <f>E21*F11</f>
        <v>100</v>
      </c>
      <c r="G21" s="14">
        <v>125</v>
      </c>
      <c r="H21" s="37">
        <f>F21/1000*G21/F11</f>
        <v>12.5</v>
      </c>
      <c r="I21" s="38">
        <f>F21/1000*G21</f>
        <v>12.5</v>
      </c>
      <c r="J21" s="39">
        <v>0.12</v>
      </c>
      <c r="K21" s="40">
        <f>I21*J21</f>
        <v>1.5</v>
      </c>
      <c r="L21" s="41">
        <f>I21+K21</f>
        <v>14</v>
      </c>
    </row>
    <row r="22" spans="1:12" x14ac:dyDescent="0.3">
      <c r="A22" s="9"/>
      <c r="B22" s="12" t="s">
        <v>29</v>
      </c>
      <c r="C22" s="14" t="str">
        <f>C9</f>
        <v>DARK BROWN</v>
      </c>
      <c r="D22" s="14" t="s">
        <v>28</v>
      </c>
      <c r="E22" s="14">
        <v>100</v>
      </c>
      <c r="F22" s="41">
        <f>E22*F11</f>
        <v>100</v>
      </c>
      <c r="G22" s="14">
        <v>257</v>
      </c>
      <c r="H22" s="37">
        <f>F22/5000*G22/F11</f>
        <v>5.14</v>
      </c>
      <c r="I22" s="38">
        <f>H22*F11</f>
        <v>5.14</v>
      </c>
      <c r="J22" s="39">
        <v>0.12</v>
      </c>
      <c r="K22" s="40">
        <f>I22*J22</f>
        <v>0.6167999999999999</v>
      </c>
      <c r="L22" s="41">
        <f>I22+K22</f>
        <v>5.7567999999999993</v>
      </c>
    </row>
    <row r="23" spans="1:12" x14ac:dyDescent="0.3">
      <c r="A23" s="9"/>
      <c r="B23" s="12" t="s">
        <v>30</v>
      </c>
      <c r="C23" s="14" t="str">
        <f>C9</f>
        <v>DARK BROWN</v>
      </c>
      <c r="D23" s="14" t="s">
        <v>28</v>
      </c>
      <c r="E23" s="14">
        <v>50</v>
      </c>
      <c r="F23" s="41">
        <f>E23*F11</f>
        <v>50</v>
      </c>
      <c r="G23" s="14">
        <v>162</v>
      </c>
      <c r="H23" s="37">
        <f>F23/1000*G23/F11</f>
        <v>8.1</v>
      </c>
      <c r="I23" s="38">
        <f>F23/1000*G23</f>
        <v>8.1</v>
      </c>
      <c r="J23" s="39">
        <v>0.12</v>
      </c>
      <c r="K23" s="40">
        <f>I23*J23</f>
        <v>0.97199999999999998</v>
      </c>
      <c r="L23" s="41">
        <f>I23+K23</f>
        <v>9.0719999999999992</v>
      </c>
    </row>
    <row r="24" spans="1:12" x14ac:dyDescent="0.3">
      <c r="A24" s="9"/>
      <c r="B24" s="12"/>
      <c r="C24" s="14"/>
      <c r="D24" s="14"/>
      <c r="E24" s="14"/>
      <c r="F24" s="41"/>
      <c r="G24" s="14"/>
      <c r="H24" s="37"/>
      <c r="I24" s="38"/>
      <c r="J24" s="39"/>
      <c r="K24" s="40"/>
      <c r="L24" s="41"/>
    </row>
    <row r="25" spans="1:12" x14ac:dyDescent="0.3">
      <c r="A25" s="9" t="s">
        <v>31</v>
      </c>
      <c r="B25" s="12" t="s">
        <v>32</v>
      </c>
      <c r="C25" s="14" t="s">
        <v>33</v>
      </c>
      <c r="D25" s="14" t="s">
        <v>34</v>
      </c>
      <c r="E25" s="14">
        <v>1.5</v>
      </c>
      <c r="F25" s="41">
        <f>E25*F11</f>
        <v>1.5</v>
      </c>
      <c r="G25" s="14">
        <v>18</v>
      </c>
      <c r="H25" s="37">
        <f>E25*G25</f>
        <v>27</v>
      </c>
      <c r="I25" s="38">
        <f>F25*G25</f>
        <v>27</v>
      </c>
      <c r="J25" s="39">
        <v>0.18</v>
      </c>
      <c r="K25" s="40">
        <f>I25*J25</f>
        <v>4.8599999999999994</v>
      </c>
      <c r="L25" s="41">
        <f>I25+K25</f>
        <v>31.86</v>
      </c>
    </row>
    <row r="26" spans="1:12" x14ac:dyDescent="0.3">
      <c r="A26" s="9"/>
      <c r="B26" s="12" t="s">
        <v>35</v>
      </c>
      <c r="C26" s="14" t="s">
        <v>36</v>
      </c>
      <c r="D26" s="14" t="s">
        <v>37</v>
      </c>
      <c r="E26" s="14">
        <v>0.15</v>
      </c>
      <c r="F26" s="41">
        <f>E26*F11</f>
        <v>0.15</v>
      </c>
      <c r="G26" s="14">
        <v>88</v>
      </c>
      <c r="H26" s="37">
        <f>E26*G26</f>
        <v>13.2</v>
      </c>
      <c r="I26" s="38">
        <f>F26*G26</f>
        <v>13.2</v>
      </c>
      <c r="J26" s="39">
        <v>0.18</v>
      </c>
      <c r="K26" s="40">
        <f>I26*J26</f>
        <v>2.3759999999999999</v>
      </c>
      <c r="L26" s="41">
        <f>I26+K26</f>
        <v>15.575999999999999</v>
      </c>
    </row>
    <row r="27" spans="1:12" x14ac:dyDescent="0.3">
      <c r="A27" s="9"/>
      <c r="B27" s="12" t="s">
        <v>38</v>
      </c>
      <c r="C27" s="14" t="s">
        <v>39</v>
      </c>
      <c r="D27" s="14" t="s">
        <v>34</v>
      </c>
      <c r="E27" s="14">
        <v>3.75</v>
      </c>
      <c r="F27" s="41">
        <f>E27*F11</f>
        <v>3.75</v>
      </c>
      <c r="G27" s="14">
        <v>0.6875</v>
      </c>
      <c r="H27" s="37">
        <f>E27*G27</f>
        <v>2.578125</v>
      </c>
      <c r="I27" s="38">
        <f>F27*G27</f>
        <v>2.578125</v>
      </c>
      <c r="J27" s="39">
        <v>0.18</v>
      </c>
      <c r="K27" s="40">
        <f>I27*J27</f>
        <v>0.46406249999999999</v>
      </c>
      <c r="L27" s="41">
        <f>I27+K27</f>
        <v>3.0421874999999998</v>
      </c>
    </row>
    <row r="28" spans="1:12" x14ac:dyDescent="0.3">
      <c r="A28" s="9"/>
      <c r="B28" s="12"/>
      <c r="C28" s="14"/>
      <c r="D28" s="14"/>
      <c r="E28" s="14"/>
      <c r="F28" s="41"/>
      <c r="G28" s="14"/>
      <c r="H28" s="37"/>
      <c r="I28" s="38"/>
      <c r="J28" s="39"/>
      <c r="K28" s="40"/>
      <c r="L28" s="41"/>
    </row>
    <row r="29" spans="1:12" x14ac:dyDescent="0.3">
      <c r="A29" s="9"/>
      <c r="B29" s="12" t="s">
        <v>144</v>
      </c>
      <c r="C29" s="14" t="s">
        <v>39</v>
      </c>
      <c r="D29" s="14" t="s">
        <v>34</v>
      </c>
      <c r="E29" s="14">
        <v>1</v>
      </c>
      <c r="F29" s="41">
        <f>E29*F11</f>
        <v>1</v>
      </c>
      <c r="G29" s="14">
        <v>16</v>
      </c>
      <c r="H29" s="37">
        <f>E29*G29</f>
        <v>16</v>
      </c>
      <c r="I29" s="38">
        <f>F29*G29</f>
        <v>16</v>
      </c>
      <c r="J29" s="39">
        <v>0.18</v>
      </c>
      <c r="K29" s="40">
        <f>I29*J29</f>
        <v>2.88</v>
      </c>
      <c r="L29" s="41">
        <f>I29+K29</f>
        <v>18.88</v>
      </c>
    </row>
    <row r="30" spans="1:12" x14ac:dyDescent="0.3">
      <c r="A30" s="9"/>
      <c r="B30" s="12" t="s">
        <v>145</v>
      </c>
      <c r="C30" s="14" t="str">
        <f>C9</f>
        <v>DARK BROWN</v>
      </c>
      <c r="D30" s="14" t="s">
        <v>34</v>
      </c>
      <c r="E30" s="14">
        <v>0.12</v>
      </c>
      <c r="F30" s="41">
        <f>E30*F11</f>
        <v>0.12</v>
      </c>
      <c r="G30" s="14">
        <v>35</v>
      </c>
      <c r="H30" s="37">
        <f>E30*G30</f>
        <v>4.2</v>
      </c>
      <c r="I30" s="38">
        <f>F30*G30</f>
        <v>4.2</v>
      </c>
      <c r="J30" s="39">
        <v>0.18</v>
      </c>
      <c r="K30" s="40">
        <f>I30*J30</f>
        <v>0.75600000000000001</v>
      </c>
      <c r="L30" s="41">
        <f>I30+K30</f>
        <v>4.9560000000000004</v>
      </c>
    </row>
    <row r="31" spans="1:12" x14ac:dyDescent="0.3">
      <c r="A31" s="9"/>
      <c r="B31" s="12" t="s">
        <v>146</v>
      </c>
      <c r="C31" s="14" t="str">
        <f>C9</f>
        <v>DARK BROWN</v>
      </c>
      <c r="D31" s="14" t="s">
        <v>34</v>
      </c>
      <c r="E31" s="14">
        <v>1</v>
      </c>
      <c r="F31" s="41">
        <f>E31*F11</f>
        <v>1</v>
      </c>
      <c r="G31" s="14">
        <v>6</v>
      </c>
      <c r="H31" s="37">
        <f>E31*G31</f>
        <v>6</v>
      </c>
      <c r="I31" s="38">
        <f>F31*G31</f>
        <v>6</v>
      </c>
      <c r="J31" s="39">
        <v>0.18</v>
      </c>
      <c r="K31" s="40">
        <f>I31*J31</f>
        <v>1.08</v>
      </c>
      <c r="L31" s="41">
        <f>I31+K31</f>
        <v>7.08</v>
      </c>
    </row>
    <row r="32" spans="1:12" x14ac:dyDescent="0.3">
      <c r="A32" s="9"/>
      <c r="B32" s="12"/>
      <c r="C32" s="14"/>
      <c r="D32" s="14"/>
      <c r="E32" s="14"/>
      <c r="F32" s="41"/>
      <c r="G32" s="14"/>
      <c r="H32" s="37"/>
      <c r="I32" s="38"/>
      <c r="J32" s="39"/>
      <c r="K32" s="40"/>
      <c r="L32" s="41"/>
    </row>
    <row r="33" spans="1:15" x14ac:dyDescent="0.3">
      <c r="A33" s="9"/>
      <c r="B33" s="12"/>
      <c r="C33" s="14"/>
      <c r="D33" s="14"/>
      <c r="E33" s="14"/>
      <c r="F33" s="41"/>
      <c r="G33" s="14"/>
      <c r="H33" s="37"/>
      <c r="I33" s="38"/>
      <c r="J33" s="39"/>
      <c r="K33" s="40"/>
      <c r="L33" s="41"/>
    </row>
    <row r="34" spans="1:15" x14ac:dyDescent="0.3">
      <c r="A34" s="12" t="s">
        <v>41</v>
      </c>
      <c r="B34" s="22" t="s">
        <v>148</v>
      </c>
      <c r="C34" s="14" t="str">
        <f>C9</f>
        <v>DARK BROWN</v>
      </c>
      <c r="D34" s="14" t="s">
        <v>43</v>
      </c>
      <c r="E34" s="14">
        <v>1</v>
      </c>
      <c r="F34" s="12">
        <f>E34*F11</f>
        <v>1</v>
      </c>
      <c r="G34" s="14">
        <v>162</v>
      </c>
      <c r="H34" s="12">
        <f t="shared" ref="H34" si="0">E34*G34</f>
        <v>162</v>
      </c>
      <c r="I34" s="38">
        <f t="shared" ref="I34" si="1">F34*G34</f>
        <v>162</v>
      </c>
      <c r="J34" s="39">
        <v>0.12</v>
      </c>
      <c r="K34" s="40">
        <f t="shared" ref="K34" si="2">I34*J34</f>
        <v>19.439999999999998</v>
      </c>
      <c r="L34" s="41">
        <f t="shared" ref="L34" si="3">I34+K34</f>
        <v>181.44</v>
      </c>
    </row>
    <row r="35" spans="1:15" x14ac:dyDescent="0.3">
      <c r="A35" s="12"/>
      <c r="B35" s="22"/>
      <c r="C35" s="14"/>
      <c r="D35" s="14"/>
      <c r="E35" s="14"/>
      <c r="F35" s="12"/>
      <c r="G35" s="14"/>
      <c r="H35" s="12"/>
      <c r="I35" s="38"/>
      <c r="J35" s="39"/>
      <c r="K35" s="40"/>
      <c r="L35" s="41"/>
      <c r="O35" s="43"/>
    </row>
    <row r="36" spans="1:15" x14ac:dyDescent="0.3">
      <c r="A36" s="12"/>
      <c r="B36" s="12"/>
      <c r="C36" s="14"/>
      <c r="D36" s="14"/>
      <c r="E36" s="14"/>
      <c r="F36" s="12"/>
      <c r="G36" s="14"/>
      <c r="H36" s="37"/>
      <c r="I36" s="38"/>
      <c r="J36" s="39"/>
      <c r="K36" s="40"/>
      <c r="L36" s="41"/>
    </row>
    <row r="37" spans="1:15" x14ac:dyDescent="0.3">
      <c r="A37" s="12" t="s">
        <v>47</v>
      </c>
      <c r="B37" s="12" t="s">
        <v>48</v>
      </c>
      <c r="C37" s="14" t="s">
        <v>36</v>
      </c>
      <c r="D37" s="14" t="s">
        <v>43</v>
      </c>
      <c r="E37" s="14">
        <v>1</v>
      </c>
      <c r="F37" s="41">
        <f>E37*F11</f>
        <v>1</v>
      </c>
      <c r="G37" s="14">
        <v>12</v>
      </c>
      <c r="H37" s="37">
        <f>E37*G37</f>
        <v>12</v>
      </c>
      <c r="I37" s="38">
        <f>F37*G37</f>
        <v>12</v>
      </c>
      <c r="J37" s="39">
        <v>0.12</v>
      </c>
      <c r="K37" s="40">
        <f>I37*J37</f>
        <v>1.44</v>
      </c>
      <c r="L37" s="41">
        <f>I37+K37</f>
        <v>13.44</v>
      </c>
    </row>
    <row r="38" spans="1:15" x14ac:dyDescent="0.3">
      <c r="A38" s="12"/>
      <c r="B38" s="12" t="s">
        <v>49</v>
      </c>
      <c r="C38" s="14" t="s">
        <v>36</v>
      </c>
      <c r="D38" s="14" t="s">
        <v>43</v>
      </c>
      <c r="E38" s="14">
        <v>1</v>
      </c>
      <c r="F38" s="41">
        <f>E38*F11</f>
        <v>1</v>
      </c>
      <c r="G38" s="14">
        <v>3.5</v>
      </c>
      <c r="H38" s="37">
        <f>E38*G38</f>
        <v>3.5</v>
      </c>
      <c r="I38" s="38">
        <f>F38*G38</f>
        <v>3.5</v>
      </c>
      <c r="J38" s="39">
        <v>0.12</v>
      </c>
      <c r="K38" s="40">
        <f>I38*J38</f>
        <v>0.42</v>
      </c>
      <c r="L38" s="41">
        <f>I38+K38</f>
        <v>3.92</v>
      </c>
    </row>
    <row r="39" spans="1:15" x14ac:dyDescent="0.3">
      <c r="A39" s="9"/>
      <c r="B39" s="12" t="s">
        <v>50</v>
      </c>
      <c r="C39" s="14" t="s">
        <v>36</v>
      </c>
      <c r="D39" s="14" t="s">
        <v>43</v>
      </c>
      <c r="E39" s="14">
        <v>1</v>
      </c>
      <c r="F39" s="41">
        <f>E39*F11</f>
        <v>1</v>
      </c>
      <c r="G39" s="14">
        <v>4</v>
      </c>
      <c r="H39" s="37">
        <v>4</v>
      </c>
      <c r="I39" s="38">
        <f>F39*G39</f>
        <v>4</v>
      </c>
      <c r="J39" s="39">
        <v>0.12</v>
      </c>
      <c r="K39" s="40">
        <f>I39*J39</f>
        <v>0.48</v>
      </c>
      <c r="L39" s="41">
        <f>I39+K39</f>
        <v>4.4800000000000004</v>
      </c>
    </row>
    <row r="40" spans="1:15" x14ac:dyDescent="0.3">
      <c r="A40" s="9"/>
      <c r="B40" s="12"/>
      <c r="C40" s="14"/>
      <c r="D40" s="14"/>
      <c r="E40" s="14"/>
      <c r="F40" s="41"/>
      <c r="G40" s="14"/>
      <c r="H40" s="12"/>
      <c r="I40" s="41"/>
      <c r="J40" s="39"/>
      <c r="K40" s="41"/>
      <c r="L40" s="41"/>
    </row>
    <row r="41" spans="1:15" ht="39.6" x14ac:dyDescent="0.3">
      <c r="A41" s="44" t="s">
        <v>51</v>
      </c>
      <c r="B41" s="21" t="s">
        <v>52</v>
      </c>
      <c r="C41" s="23" t="s">
        <v>36</v>
      </c>
      <c r="D41" s="23" t="s">
        <v>43</v>
      </c>
      <c r="E41" s="23">
        <v>1</v>
      </c>
      <c r="F41" s="45">
        <f>F11*E41</f>
        <v>1</v>
      </c>
      <c r="G41" s="23">
        <v>12</v>
      </c>
      <c r="H41" s="46">
        <f t="shared" ref="H41:H46" si="4">E41*G41</f>
        <v>12</v>
      </c>
      <c r="I41" s="47">
        <f t="shared" ref="I41:I45" si="5">F41*G41</f>
        <v>12</v>
      </c>
      <c r="J41" s="48">
        <v>0.18</v>
      </c>
      <c r="K41" s="49">
        <f t="shared" ref="K41:K46" si="6">I41*J41</f>
        <v>2.16</v>
      </c>
      <c r="L41" s="45">
        <f t="shared" ref="L41:L47" si="7">I41+K41</f>
        <v>14.16</v>
      </c>
    </row>
    <row r="42" spans="1:15" x14ac:dyDescent="0.3">
      <c r="A42" s="12"/>
      <c r="B42" s="12" t="s">
        <v>53</v>
      </c>
      <c r="C42" s="14" t="s">
        <v>36</v>
      </c>
      <c r="D42" s="14" t="s">
        <v>43</v>
      </c>
      <c r="E42" s="14">
        <v>1</v>
      </c>
      <c r="F42" s="41">
        <f>E42*F11</f>
        <v>1</v>
      </c>
      <c r="G42" s="14">
        <v>0</v>
      </c>
      <c r="H42" s="37">
        <f t="shared" si="4"/>
        <v>0</v>
      </c>
      <c r="I42" s="38">
        <f t="shared" si="5"/>
        <v>0</v>
      </c>
      <c r="J42" s="39">
        <v>0.18</v>
      </c>
      <c r="K42" s="40">
        <f t="shared" si="6"/>
        <v>0</v>
      </c>
      <c r="L42" s="41">
        <f t="shared" si="7"/>
        <v>0</v>
      </c>
    </row>
    <row r="43" spans="1:15" x14ac:dyDescent="0.3">
      <c r="A43" s="12"/>
      <c r="B43" s="12" t="s">
        <v>54</v>
      </c>
      <c r="C43" s="14" t="s">
        <v>36</v>
      </c>
      <c r="D43" s="14" t="s">
        <v>55</v>
      </c>
      <c r="E43" s="14">
        <v>1</v>
      </c>
      <c r="F43" s="41">
        <f>E43*F11</f>
        <v>1</v>
      </c>
      <c r="G43" s="14">
        <v>0</v>
      </c>
      <c r="H43" s="37">
        <f t="shared" si="4"/>
        <v>0</v>
      </c>
      <c r="I43" s="38">
        <f t="shared" si="5"/>
        <v>0</v>
      </c>
      <c r="J43" s="39">
        <v>0.18</v>
      </c>
      <c r="K43" s="40">
        <f t="shared" si="6"/>
        <v>0</v>
      </c>
      <c r="L43" s="41">
        <f t="shared" si="7"/>
        <v>0</v>
      </c>
    </row>
    <row r="44" spans="1:15" x14ac:dyDescent="0.3">
      <c r="A44" s="12"/>
      <c r="B44" s="12" t="s">
        <v>56</v>
      </c>
      <c r="C44" s="14" t="s">
        <v>36</v>
      </c>
      <c r="D44" s="14" t="s">
        <v>55</v>
      </c>
      <c r="E44" s="14">
        <v>0.2</v>
      </c>
      <c r="F44" s="41">
        <f>E44*F11</f>
        <v>0.2</v>
      </c>
      <c r="G44" s="14">
        <v>115</v>
      </c>
      <c r="H44" s="37">
        <v>15</v>
      </c>
      <c r="I44" s="38">
        <f>H44*F11</f>
        <v>15</v>
      </c>
      <c r="J44" s="39">
        <v>0.18</v>
      </c>
      <c r="K44" s="40">
        <f t="shared" si="6"/>
        <v>2.6999999999999997</v>
      </c>
      <c r="L44" s="41">
        <f t="shared" si="7"/>
        <v>17.7</v>
      </c>
    </row>
    <row r="45" spans="1:15" x14ac:dyDescent="0.3">
      <c r="A45" s="12"/>
      <c r="B45" s="12" t="s">
        <v>57</v>
      </c>
      <c r="C45" s="14" t="s">
        <v>36</v>
      </c>
      <c r="D45" s="14" t="s">
        <v>58</v>
      </c>
      <c r="E45" s="14">
        <v>2</v>
      </c>
      <c r="F45" s="41">
        <f>E45*F11</f>
        <v>2</v>
      </c>
      <c r="G45" s="14">
        <v>1.35</v>
      </c>
      <c r="H45" s="37">
        <f t="shared" si="4"/>
        <v>2.7</v>
      </c>
      <c r="I45" s="38">
        <f t="shared" si="5"/>
        <v>2.7</v>
      </c>
      <c r="J45" s="39">
        <v>0.18</v>
      </c>
      <c r="K45" s="40">
        <f t="shared" si="6"/>
        <v>0.48599999999999999</v>
      </c>
      <c r="L45" s="41">
        <f t="shared" si="7"/>
        <v>3.1859999999999999</v>
      </c>
    </row>
    <row r="46" spans="1:15" x14ac:dyDescent="0.3">
      <c r="A46" s="12"/>
      <c r="B46" s="12" t="s">
        <v>59</v>
      </c>
      <c r="C46" s="14" t="s">
        <v>36</v>
      </c>
      <c r="D46" s="14" t="s">
        <v>43</v>
      </c>
      <c r="E46" s="14">
        <v>7.0000000000000007E-2</v>
      </c>
      <c r="F46" s="41">
        <f>E46*F11</f>
        <v>7.0000000000000007E-2</v>
      </c>
      <c r="G46" s="14">
        <v>168</v>
      </c>
      <c r="H46" s="37">
        <f t="shared" si="4"/>
        <v>11.760000000000002</v>
      </c>
      <c r="I46" s="38">
        <f>F46*G46</f>
        <v>11.760000000000002</v>
      </c>
      <c r="J46" s="39">
        <v>0.18</v>
      </c>
      <c r="K46" s="40">
        <f t="shared" si="6"/>
        <v>2.1168</v>
      </c>
      <c r="L46" s="41">
        <f t="shared" si="7"/>
        <v>13.876800000000001</v>
      </c>
    </row>
    <row r="47" spans="1:15" x14ac:dyDescent="0.3">
      <c r="A47" s="12"/>
      <c r="B47" s="12" t="s">
        <v>60</v>
      </c>
      <c r="C47" s="14" t="s">
        <v>61</v>
      </c>
      <c r="D47" s="14" t="s">
        <v>62</v>
      </c>
      <c r="E47" s="14">
        <f>0.1</f>
        <v>0.1</v>
      </c>
      <c r="F47" s="41">
        <f>E47*F11</f>
        <v>0.1</v>
      </c>
      <c r="G47" s="14">
        <v>54</v>
      </c>
      <c r="H47" s="37">
        <f>E47*G47</f>
        <v>5.4</v>
      </c>
      <c r="I47" s="38">
        <f>F47*G47</f>
        <v>5.4</v>
      </c>
      <c r="J47" s="39">
        <v>0.18</v>
      </c>
      <c r="K47" s="40">
        <f>I47*J47</f>
        <v>0.97199999999999998</v>
      </c>
      <c r="L47" s="41">
        <f t="shared" si="7"/>
        <v>6.3719999999999999</v>
      </c>
    </row>
    <row r="48" spans="1:15" x14ac:dyDescent="0.3">
      <c r="A48" s="12"/>
      <c r="B48" s="12"/>
      <c r="C48" s="14"/>
      <c r="D48" s="14"/>
      <c r="E48" s="14"/>
      <c r="F48" s="41"/>
      <c r="G48" s="14"/>
      <c r="H48" s="50">
        <f>SUM(H16:H47)</f>
        <v>1403.0781250000002</v>
      </c>
      <c r="I48" s="50">
        <f>SUM(I16:I47)</f>
        <v>1403.0781250000002</v>
      </c>
      <c r="J48" s="51"/>
      <c r="K48" s="52">
        <f>SUM(K16:K47)</f>
        <v>175.31966250000002</v>
      </c>
      <c r="L48" s="53">
        <f>SUM(L16:L47)</f>
        <v>1578.3977875</v>
      </c>
    </row>
    <row r="49" spans="1:12" x14ac:dyDescent="0.3">
      <c r="A49" s="12" t="s">
        <v>63</v>
      </c>
      <c r="B49" s="12" t="s">
        <v>64</v>
      </c>
      <c r="C49" s="15"/>
      <c r="D49" s="14" t="s">
        <v>43</v>
      </c>
      <c r="E49" s="14">
        <f>C49*1%</f>
        <v>0</v>
      </c>
      <c r="F49" s="41">
        <f>F11</f>
        <v>1</v>
      </c>
      <c r="G49" s="14">
        <f>E49</f>
        <v>0</v>
      </c>
      <c r="H49" s="38">
        <f>G49</f>
        <v>0</v>
      </c>
      <c r="I49" s="38">
        <f>H49*F49</f>
        <v>0</v>
      </c>
      <c r="J49" s="39">
        <v>0.18</v>
      </c>
      <c r="K49" s="40">
        <f t="shared" ref="K49:K57" si="8">I49*J49</f>
        <v>0</v>
      </c>
      <c r="L49" s="41">
        <f t="shared" ref="L49:L57" si="9">I49+K49</f>
        <v>0</v>
      </c>
    </row>
    <row r="50" spans="1:12" x14ac:dyDescent="0.3">
      <c r="A50" s="12"/>
      <c r="B50" s="12" t="s">
        <v>65</v>
      </c>
      <c r="C50" s="15"/>
      <c r="D50" s="14" t="s">
        <v>43</v>
      </c>
      <c r="E50" s="14">
        <f>C50*1%</f>
        <v>0</v>
      </c>
      <c r="F50" s="41">
        <f>F11</f>
        <v>1</v>
      </c>
      <c r="G50" s="14">
        <f>E50</f>
        <v>0</v>
      </c>
      <c r="H50" s="38">
        <f>G50</f>
        <v>0</v>
      </c>
      <c r="I50" s="38">
        <f>H50*F50</f>
        <v>0</v>
      </c>
      <c r="J50" s="39">
        <v>0.18</v>
      </c>
      <c r="K50" s="40">
        <f t="shared" si="8"/>
        <v>0</v>
      </c>
      <c r="L50" s="41">
        <f t="shared" si="9"/>
        <v>0</v>
      </c>
    </row>
    <row r="51" spans="1:12" x14ac:dyDescent="0.3">
      <c r="A51" s="12"/>
      <c r="B51" s="12" t="s">
        <v>66</v>
      </c>
      <c r="C51" s="15"/>
      <c r="D51" s="14" t="s">
        <v>43</v>
      </c>
      <c r="E51" s="14">
        <f>C51*5%</f>
        <v>0</v>
      </c>
      <c r="F51" s="41">
        <f>F11</f>
        <v>1</v>
      </c>
      <c r="G51" s="14">
        <f t="shared" ref="G51:G56" si="10">E51</f>
        <v>0</v>
      </c>
      <c r="H51" s="38">
        <f t="shared" ref="H51:H56" si="11">G51</f>
        <v>0</v>
      </c>
      <c r="I51" s="38">
        <f>H51*F51</f>
        <v>0</v>
      </c>
      <c r="J51" s="39"/>
      <c r="K51" s="40">
        <f t="shared" si="8"/>
        <v>0</v>
      </c>
      <c r="L51" s="41">
        <f t="shared" si="9"/>
        <v>0</v>
      </c>
    </row>
    <row r="52" spans="1:12" x14ac:dyDescent="0.3">
      <c r="A52" s="12"/>
      <c r="B52" s="12" t="s">
        <v>67</v>
      </c>
      <c r="C52" s="15"/>
      <c r="D52" s="14" t="s">
        <v>43</v>
      </c>
      <c r="E52" s="14">
        <f>C52*7%</f>
        <v>0</v>
      </c>
      <c r="F52" s="41">
        <f>F11</f>
        <v>1</v>
      </c>
      <c r="G52" s="14">
        <f t="shared" si="10"/>
        <v>0</v>
      </c>
      <c r="H52" s="38">
        <f t="shared" si="11"/>
        <v>0</v>
      </c>
      <c r="I52" s="38">
        <f>H52*F52</f>
        <v>0</v>
      </c>
      <c r="J52" s="12"/>
      <c r="K52" s="40">
        <f t="shared" si="8"/>
        <v>0</v>
      </c>
      <c r="L52" s="41">
        <f t="shared" si="9"/>
        <v>0</v>
      </c>
    </row>
    <row r="53" spans="1:12" x14ac:dyDescent="0.3">
      <c r="A53" s="9" t="s">
        <v>68</v>
      </c>
      <c r="B53" s="12" t="s">
        <v>69</v>
      </c>
      <c r="C53" s="15"/>
      <c r="D53" s="14" t="s">
        <v>43</v>
      </c>
      <c r="E53" s="14">
        <f>C53*2.5%</f>
        <v>0</v>
      </c>
      <c r="F53" s="41">
        <f>F11</f>
        <v>1</v>
      </c>
      <c r="G53" s="14">
        <f t="shared" si="10"/>
        <v>0</v>
      </c>
      <c r="H53" s="38">
        <f t="shared" si="11"/>
        <v>0</v>
      </c>
      <c r="I53" s="38">
        <f t="shared" ref="I53:I57" si="12">H53*F53</f>
        <v>0</v>
      </c>
      <c r="J53" s="12"/>
      <c r="K53" s="40">
        <f t="shared" si="8"/>
        <v>0</v>
      </c>
      <c r="L53" s="41">
        <f t="shared" si="9"/>
        <v>0</v>
      </c>
    </row>
    <row r="54" spans="1:12" x14ac:dyDescent="0.3">
      <c r="A54" s="12"/>
      <c r="B54" s="12" t="s">
        <v>70</v>
      </c>
      <c r="C54" s="15"/>
      <c r="D54" s="14" t="s">
        <v>43</v>
      </c>
      <c r="E54" s="14">
        <f>C54*2%</f>
        <v>0</v>
      </c>
      <c r="F54" s="41">
        <f>F11</f>
        <v>1</v>
      </c>
      <c r="G54" s="14">
        <f t="shared" si="10"/>
        <v>0</v>
      </c>
      <c r="H54" s="38">
        <f t="shared" si="11"/>
        <v>0</v>
      </c>
      <c r="I54" s="38">
        <f t="shared" si="12"/>
        <v>0</v>
      </c>
      <c r="J54" s="12"/>
      <c r="K54" s="40">
        <f t="shared" si="8"/>
        <v>0</v>
      </c>
      <c r="L54" s="41">
        <f t="shared" si="9"/>
        <v>0</v>
      </c>
    </row>
    <row r="55" spans="1:12" x14ac:dyDescent="0.3">
      <c r="A55" s="12"/>
      <c r="B55" s="12" t="s">
        <v>71</v>
      </c>
      <c r="C55" s="15"/>
      <c r="D55" s="14" t="s">
        <v>43</v>
      </c>
      <c r="E55" s="14">
        <v>1200</v>
      </c>
      <c r="F55" s="41">
        <f>F11</f>
        <v>1</v>
      </c>
      <c r="G55" s="14">
        <f t="shared" si="10"/>
        <v>1200</v>
      </c>
      <c r="H55" s="38">
        <f t="shared" si="11"/>
        <v>1200</v>
      </c>
      <c r="I55" s="38">
        <f t="shared" si="12"/>
        <v>1200</v>
      </c>
      <c r="J55" s="12"/>
      <c r="K55" s="40">
        <f t="shared" si="8"/>
        <v>0</v>
      </c>
      <c r="L55" s="41">
        <f t="shared" si="9"/>
        <v>1200</v>
      </c>
    </row>
    <row r="56" spans="1:12" x14ac:dyDescent="0.3">
      <c r="A56" s="12"/>
      <c r="B56" s="12" t="s">
        <v>72</v>
      </c>
      <c r="C56" s="15">
        <f>B62</f>
        <v>4828</v>
      </c>
      <c r="D56" s="14" t="s">
        <v>43</v>
      </c>
      <c r="E56" s="14">
        <f>C56*5%</f>
        <v>241.4</v>
      </c>
      <c r="F56" s="41">
        <f>F11</f>
        <v>1</v>
      </c>
      <c r="G56" s="14">
        <f t="shared" si="10"/>
        <v>241.4</v>
      </c>
      <c r="H56" s="38">
        <f t="shared" si="11"/>
        <v>241.4</v>
      </c>
      <c r="I56" s="38">
        <f t="shared" si="12"/>
        <v>241.4</v>
      </c>
      <c r="J56" s="12"/>
      <c r="K56" s="40">
        <f t="shared" si="8"/>
        <v>0</v>
      </c>
      <c r="L56" s="41">
        <f t="shared" si="9"/>
        <v>241.4</v>
      </c>
    </row>
    <row r="57" spans="1:12" x14ac:dyDescent="0.3">
      <c r="A57" s="12" t="s">
        <v>73</v>
      </c>
      <c r="B57" s="54" t="s">
        <v>74</v>
      </c>
      <c r="C57" s="55"/>
      <c r="D57" s="55" t="s">
        <v>43</v>
      </c>
      <c r="E57" s="55">
        <v>420</v>
      </c>
      <c r="F57" s="41">
        <f>F11</f>
        <v>1</v>
      </c>
      <c r="G57" s="55">
        <v>420</v>
      </c>
      <c r="H57" s="56">
        <v>420</v>
      </c>
      <c r="I57" s="38">
        <f t="shared" si="12"/>
        <v>420</v>
      </c>
      <c r="J57" s="54"/>
      <c r="K57" s="57">
        <f t="shared" si="8"/>
        <v>0</v>
      </c>
      <c r="L57" s="58">
        <f t="shared" si="9"/>
        <v>420</v>
      </c>
    </row>
    <row r="58" spans="1:12" x14ac:dyDescent="0.3">
      <c r="A58" s="2"/>
      <c r="B58" s="2"/>
      <c r="C58" s="1"/>
      <c r="D58" s="1"/>
      <c r="E58" s="1"/>
      <c r="F58" s="59">
        <f>F11</f>
        <v>1</v>
      </c>
      <c r="G58" s="1"/>
      <c r="H58" s="59">
        <f>SUM(H48:H57)</f>
        <v>3264.4781250000001</v>
      </c>
      <c r="I58" s="59">
        <f>SUM(I48:I57)</f>
        <v>3264.4781250000001</v>
      </c>
      <c r="J58" s="60"/>
      <c r="K58" s="59">
        <f>SUM(K48:K57)</f>
        <v>175.31966250000002</v>
      </c>
      <c r="L58" s="59">
        <f>SUM(L48:L57)</f>
        <v>3439.7977875000001</v>
      </c>
    </row>
    <row r="59" spans="1:12" x14ac:dyDescent="0.3">
      <c r="A59" s="2"/>
      <c r="B59" s="2"/>
      <c r="C59" s="1"/>
      <c r="D59" s="1"/>
      <c r="E59" s="1"/>
      <c r="F59" s="2"/>
      <c r="G59" s="1"/>
      <c r="H59" s="61"/>
      <c r="I59" s="61"/>
    </row>
    <row r="60" spans="1:12" ht="46.2" customHeight="1" x14ac:dyDescent="0.3">
      <c r="A60" s="2"/>
      <c r="B60" s="2"/>
      <c r="C60" s="1"/>
      <c r="D60" s="1"/>
      <c r="E60" s="1"/>
      <c r="F60" s="2"/>
      <c r="G60" s="62" t="s">
        <v>75</v>
      </c>
      <c r="H60" s="2"/>
      <c r="I60" s="2"/>
      <c r="J60" s="2"/>
      <c r="K60" s="61"/>
      <c r="L60" s="2"/>
    </row>
    <row r="61" spans="1:12" ht="18" x14ac:dyDescent="0.35">
      <c r="A61" s="63" t="s">
        <v>76</v>
      </c>
      <c r="B61" s="64">
        <v>56.8</v>
      </c>
      <c r="C61" s="122" t="s">
        <v>77</v>
      </c>
      <c r="D61" s="122"/>
      <c r="E61" s="122"/>
      <c r="F61" s="122"/>
      <c r="G61" s="65">
        <f>G13</f>
        <v>1567.5</v>
      </c>
      <c r="H61" s="1"/>
      <c r="I61" s="1"/>
      <c r="J61" s="2"/>
      <c r="K61" s="2"/>
      <c r="L61" s="2"/>
    </row>
    <row r="62" spans="1:12" ht="18" x14ac:dyDescent="0.35">
      <c r="A62" s="63">
        <v>85</v>
      </c>
      <c r="B62" s="63">
        <f>B61*A62</f>
        <v>4828</v>
      </c>
      <c r="C62" s="122" t="s">
        <v>78</v>
      </c>
      <c r="D62" s="122"/>
      <c r="E62" s="122"/>
      <c r="F62" s="122"/>
      <c r="G62" s="65">
        <f>I58/F11</f>
        <v>3264.4781250000001</v>
      </c>
      <c r="H62" s="1"/>
      <c r="I62" s="1"/>
      <c r="J62" s="2"/>
      <c r="K62" s="2"/>
      <c r="L62" s="2"/>
    </row>
    <row r="63" spans="1:12" x14ac:dyDescent="0.3">
      <c r="A63" s="2"/>
      <c r="B63" s="2"/>
      <c r="C63" s="130" t="s">
        <v>79</v>
      </c>
      <c r="D63" s="130"/>
      <c r="E63" s="130"/>
      <c r="F63" s="130"/>
      <c r="G63" s="67">
        <f>SUM(G61:G62)</f>
        <v>4831.9781249999996</v>
      </c>
      <c r="H63" s="1"/>
      <c r="I63" s="1"/>
      <c r="J63" s="2"/>
      <c r="K63" s="2"/>
      <c r="L63" s="2"/>
    </row>
    <row r="64" spans="1:12" ht="14.4" customHeight="1" x14ac:dyDescent="0.35">
      <c r="A64" s="63" t="s">
        <v>76</v>
      </c>
      <c r="B64" s="64">
        <f>H65</f>
        <v>50.862927631578941</v>
      </c>
      <c r="C64" s="2"/>
      <c r="G64" s="1"/>
      <c r="H64" s="1"/>
      <c r="I64" s="1"/>
      <c r="J64" s="2"/>
      <c r="K64" s="2"/>
      <c r="L64" s="2"/>
    </row>
    <row r="65" spans="1:12" ht="14.4" customHeight="1" x14ac:dyDescent="0.35">
      <c r="A65" s="63">
        <v>95</v>
      </c>
      <c r="B65" s="64">
        <f>B64*A65</f>
        <v>4831.9781249999996</v>
      </c>
      <c r="C65" s="2"/>
      <c r="G65" s="68">
        <f>G63/A62</f>
        <v>56.846801470588233</v>
      </c>
      <c r="H65" s="69">
        <f>G63/A65</f>
        <v>50.862927631578941</v>
      </c>
      <c r="I65" s="1"/>
      <c r="J65" s="2"/>
      <c r="K65" s="2"/>
      <c r="L65" s="2"/>
    </row>
    <row r="66" spans="1:12" ht="14.4" customHeight="1" x14ac:dyDescent="0.3">
      <c r="A66" s="2"/>
      <c r="B66" s="109"/>
      <c r="D66" s="70" t="s">
        <v>80</v>
      </c>
      <c r="E66" s="1"/>
      <c r="F66" s="71"/>
      <c r="G66" s="71"/>
      <c r="H66" s="1"/>
      <c r="I66" s="1"/>
      <c r="J66" s="2"/>
      <c r="K66" s="2"/>
      <c r="L66" s="2"/>
    </row>
    <row r="67" spans="1:12" ht="14.4" customHeight="1" x14ac:dyDescent="0.3">
      <c r="A67" s="2"/>
      <c r="B67" s="109"/>
      <c r="D67" s="72" t="s">
        <v>81</v>
      </c>
      <c r="E67" s="73">
        <f>I58/F58</f>
        <v>3264.4781250000001</v>
      </c>
      <c r="F67" s="74" t="s">
        <v>20</v>
      </c>
      <c r="G67" s="71"/>
      <c r="H67" s="1"/>
      <c r="I67" s="1"/>
      <c r="J67" s="2"/>
      <c r="K67" s="2"/>
      <c r="L67" s="2"/>
    </row>
    <row r="68" spans="1:12" x14ac:dyDescent="0.3">
      <c r="A68" s="2"/>
      <c r="B68" s="75"/>
      <c r="C68" s="2"/>
      <c r="D68" s="72" t="s">
        <v>21</v>
      </c>
      <c r="E68" s="73">
        <f>L58/F58</f>
        <v>3439.7977875000001</v>
      </c>
      <c r="F68" s="74" t="s">
        <v>20</v>
      </c>
      <c r="G68" s="71"/>
      <c r="H68" s="1"/>
      <c r="I68" s="1"/>
      <c r="J68" s="2"/>
      <c r="K68" s="2"/>
      <c r="L68" s="2"/>
    </row>
    <row r="69" spans="1:12" x14ac:dyDescent="0.3">
      <c r="A69" s="2"/>
      <c r="B69" s="2"/>
      <c r="C69" s="1"/>
      <c r="D69" s="76"/>
      <c r="E69" s="71"/>
      <c r="F69" s="71"/>
      <c r="G69" s="1"/>
      <c r="H69" s="2"/>
      <c r="I69" s="2"/>
      <c r="J69" s="2"/>
      <c r="K69" s="2"/>
      <c r="L69" s="2"/>
    </row>
    <row r="70" spans="1:12" x14ac:dyDescent="0.3">
      <c r="D70" s="77" t="s">
        <v>21</v>
      </c>
      <c r="E70" s="78"/>
      <c r="F70" s="79" t="s">
        <v>19</v>
      </c>
    </row>
    <row r="71" spans="1:12" x14ac:dyDescent="0.3">
      <c r="B71" s="122" t="s">
        <v>82</v>
      </c>
      <c r="C71" s="122"/>
      <c r="D71" s="65">
        <f>G14</f>
        <v>1755.6</v>
      </c>
      <c r="E71" s="75"/>
      <c r="F71" s="80">
        <f>G13</f>
        <v>1567.5</v>
      </c>
    </row>
    <row r="72" spans="1:12" x14ac:dyDescent="0.3">
      <c r="B72" s="124" t="s">
        <v>83</v>
      </c>
      <c r="C72" s="125"/>
      <c r="D72" s="65">
        <f>E68</f>
        <v>3439.7977875000001</v>
      </c>
      <c r="E72" s="75"/>
      <c r="F72" s="80">
        <f>E67</f>
        <v>3264.4781250000001</v>
      </c>
    </row>
    <row r="73" spans="1:12" x14ac:dyDescent="0.3">
      <c r="B73" s="66" t="s">
        <v>79</v>
      </c>
      <c r="C73" s="66"/>
      <c r="D73" s="67">
        <f>SUM(D71:D72)</f>
        <v>5195.3977875</v>
      </c>
      <c r="E73" s="78"/>
      <c r="F73" s="81">
        <f>SUM(F71:F72)</f>
        <v>4831.9781249999996</v>
      </c>
    </row>
    <row r="74" spans="1:12" x14ac:dyDescent="0.3">
      <c r="D74" s="82"/>
      <c r="E74" s="1"/>
      <c r="F74" s="71"/>
    </row>
    <row r="75" spans="1:12" x14ac:dyDescent="0.3">
      <c r="D75" s="68">
        <f>D73/A62</f>
        <v>61.122326911764709</v>
      </c>
      <c r="E75" s="1"/>
      <c r="F75" s="68">
        <f>F73/A62</f>
        <v>56.846801470588233</v>
      </c>
    </row>
    <row r="82" spans="4:4" x14ac:dyDescent="0.3">
      <c r="D82" s="43"/>
    </row>
    <row r="83" spans="4:4" x14ac:dyDescent="0.3">
      <c r="D83" s="43"/>
    </row>
    <row r="84" spans="4:4" x14ac:dyDescent="0.3">
      <c r="D84" s="43"/>
    </row>
    <row r="85" spans="4:4" x14ac:dyDescent="0.3">
      <c r="D85" s="43"/>
    </row>
    <row r="86" spans="4:4" x14ac:dyDescent="0.3">
      <c r="D86" s="43"/>
    </row>
  </sheetData>
  <mergeCells count="13">
    <mergeCell ref="B71:C71"/>
    <mergeCell ref="B72:C72"/>
    <mergeCell ref="D13:E13"/>
    <mergeCell ref="D14:E14"/>
    <mergeCell ref="C61:F61"/>
    <mergeCell ref="C62:F62"/>
    <mergeCell ref="C63:F63"/>
    <mergeCell ref="L7:L8"/>
    <mergeCell ref="A1:F1"/>
    <mergeCell ref="A2:F2"/>
    <mergeCell ref="A3:F3"/>
    <mergeCell ref="A5:F5"/>
    <mergeCell ref="J7:K7"/>
  </mergeCells>
  <pageMargins left="0.11811023622047245" right="0.11811023622047245" top="0.15748031496062992" bottom="0.15748031496062992" header="0.31496062992125984" footer="0.31496062992125984"/>
  <pageSetup paperSize="9" scale="90" orientation="landscape" verticalDpi="0" r:id="rId1"/>
  <ignoredErrors>
    <ignoredError sqref="I22 K48:L48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CC5FF-E93E-4797-A73F-70F492B216B6}">
  <dimension ref="A1:L75"/>
  <sheetViews>
    <sheetView workbookViewId="0">
      <selection activeCell="B51" sqref="B51"/>
    </sheetView>
  </sheetViews>
  <sheetFormatPr defaultRowHeight="14.4" x14ac:dyDescent="0.3"/>
  <cols>
    <col min="1" max="1" width="9.6640625" bestFit="1" customWidth="1"/>
    <col min="2" max="2" width="41.21875" bestFit="1" customWidth="1"/>
    <col min="3" max="3" width="15" bestFit="1" customWidth="1"/>
    <col min="4" max="4" width="10.33203125" bestFit="1" customWidth="1"/>
    <col min="5" max="5" width="7.5546875" bestFit="1" customWidth="1"/>
    <col min="6" max="6" width="8.5546875" bestFit="1" customWidth="1"/>
    <col min="7" max="7" width="9.109375" style="43" bestFit="1" customWidth="1"/>
    <col min="8" max="8" width="8" bestFit="1" customWidth="1"/>
    <col min="9" max="9" width="10.44140625" bestFit="1" customWidth="1"/>
    <col min="10" max="10" width="5.44140625" bestFit="1" customWidth="1"/>
    <col min="11" max="11" width="9.44140625" bestFit="1" customWidth="1"/>
    <col min="12" max="12" width="10.44140625" bestFit="1" customWidth="1"/>
    <col min="13" max="13" width="5" bestFit="1" customWidth="1"/>
    <col min="14" max="14" width="7" bestFit="1" customWidth="1"/>
  </cols>
  <sheetData>
    <row r="1" spans="1:12" x14ac:dyDescent="0.3">
      <c r="A1" s="114" t="s">
        <v>0</v>
      </c>
      <c r="B1" s="115"/>
      <c r="C1" s="115"/>
      <c r="D1" s="115"/>
      <c r="E1" s="115"/>
      <c r="F1" s="115"/>
      <c r="G1" s="1"/>
      <c r="H1" s="2"/>
      <c r="I1" s="2"/>
      <c r="J1" s="2"/>
      <c r="K1" s="2"/>
      <c r="L1" s="2"/>
    </row>
    <row r="2" spans="1:12" x14ac:dyDescent="0.3">
      <c r="A2" s="114" t="s">
        <v>1</v>
      </c>
      <c r="B2" s="115"/>
      <c r="C2" s="115"/>
      <c r="D2" s="115"/>
      <c r="E2" s="115"/>
      <c r="F2" s="115"/>
      <c r="G2" s="1"/>
      <c r="H2" s="2"/>
      <c r="I2" s="2"/>
      <c r="J2" s="2"/>
      <c r="K2" s="2"/>
      <c r="L2" s="2"/>
    </row>
    <row r="3" spans="1:12" ht="18" x14ac:dyDescent="0.35">
      <c r="A3" s="116" t="s">
        <v>149</v>
      </c>
      <c r="B3" s="116"/>
      <c r="C3" s="116"/>
      <c r="D3" s="116"/>
      <c r="E3" s="116"/>
      <c r="F3" s="116"/>
      <c r="G3" s="3"/>
      <c r="H3" s="4"/>
      <c r="I3" s="4"/>
      <c r="J3" s="4"/>
      <c r="K3" s="4"/>
      <c r="L3" s="4"/>
    </row>
    <row r="4" spans="1:12" x14ac:dyDescent="0.3">
      <c r="G4" s="1"/>
      <c r="H4" s="2"/>
      <c r="I4" s="2"/>
      <c r="J4" s="2"/>
      <c r="K4" s="2"/>
      <c r="L4" s="2"/>
    </row>
    <row r="5" spans="1:12" ht="21" x14ac:dyDescent="0.4">
      <c r="A5" s="128" t="s">
        <v>2</v>
      </c>
      <c r="B5" s="129"/>
      <c r="C5" s="129"/>
      <c r="D5" s="129"/>
      <c r="E5" s="129"/>
      <c r="F5" s="129"/>
      <c r="G5" s="1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1"/>
      <c r="H6" s="2"/>
      <c r="I6" s="2"/>
      <c r="J6" s="2"/>
      <c r="K6" s="2"/>
      <c r="L6" s="2"/>
    </row>
    <row r="7" spans="1:12" ht="24" x14ac:dyDescent="0.3">
      <c r="A7" s="5" t="s">
        <v>3</v>
      </c>
      <c r="B7" s="6" t="s">
        <v>4</v>
      </c>
      <c r="C7" s="7" t="s">
        <v>5</v>
      </c>
      <c r="D7" s="7" t="s">
        <v>6</v>
      </c>
      <c r="E7" s="7" t="s">
        <v>7</v>
      </c>
      <c r="F7" s="6" t="s">
        <v>8</v>
      </c>
      <c r="G7" s="7" t="s">
        <v>9</v>
      </c>
      <c r="H7" s="8" t="s">
        <v>10</v>
      </c>
      <c r="I7" s="7" t="s">
        <v>11</v>
      </c>
      <c r="J7" s="117" t="s">
        <v>12</v>
      </c>
      <c r="K7" s="118"/>
      <c r="L7" s="119" t="s">
        <v>13</v>
      </c>
    </row>
    <row r="8" spans="1:12" x14ac:dyDescent="0.3">
      <c r="A8" s="9" t="s">
        <v>14</v>
      </c>
      <c r="B8" s="9"/>
      <c r="C8" s="10"/>
      <c r="D8" s="10"/>
      <c r="E8" s="10"/>
      <c r="F8" s="9"/>
      <c r="G8" s="10"/>
      <c r="H8" s="10"/>
      <c r="I8" s="10"/>
      <c r="J8" s="10" t="s">
        <v>15</v>
      </c>
      <c r="K8" s="11" t="s">
        <v>11</v>
      </c>
      <c r="L8" s="119"/>
    </row>
    <row r="9" spans="1:12" x14ac:dyDescent="0.3">
      <c r="A9" s="12"/>
      <c r="B9" s="13" t="s">
        <v>140</v>
      </c>
      <c r="C9" s="20" t="s">
        <v>115</v>
      </c>
      <c r="D9" s="14" t="s">
        <v>17</v>
      </c>
      <c r="E9" s="15">
        <v>0</v>
      </c>
      <c r="F9" s="15">
        <f>E9*F10</f>
        <v>0</v>
      </c>
      <c r="G9" s="14">
        <v>9.5</v>
      </c>
      <c r="H9" s="16">
        <f>F9*G9</f>
        <v>0</v>
      </c>
      <c r="I9" s="17">
        <f>F9*G9</f>
        <v>0</v>
      </c>
      <c r="J9" s="18">
        <v>0.12</v>
      </c>
      <c r="K9" s="19">
        <f>I9*J9</f>
        <v>0</v>
      </c>
      <c r="L9" s="15">
        <f>I9+K9</f>
        <v>0</v>
      </c>
    </row>
    <row r="10" spans="1:12" ht="18" x14ac:dyDescent="0.3">
      <c r="A10" s="21"/>
      <c r="B10" s="13" t="s">
        <v>143</v>
      </c>
      <c r="C10" s="22"/>
      <c r="D10" s="22"/>
      <c r="E10" s="23"/>
      <c r="F10" s="24">
        <v>1</v>
      </c>
      <c r="G10" s="23"/>
      <c r="H10" s="25">
        <f>SUM(H9:H9)</f>
        <v>0</v>
      </c>
      <c r="I10" s="26">
        <f>SUM(I9:I9)</f>
        <v>0</v>
      </c>
      <c r="J10" s="27"/>
      <c r="K10" s="28">
        <f>SUM(K9:K9)</f>
        <v>0</v>
      </c>
      <c r="L10" s="29">
        <f>SUM(L9:L9)</f>
        <v>0</v>
      </c>
    </row>
    <row r="11" spans="1:12" x14ac:dyDescent="0.3">
      <c r="A11" s="12"/>
      <c r="B11" s="12"/>
      <c r="C11" s="14"/>
      <c r="D11" s="120" t="s">
        <v>19</v>
      </c>
      <c r="E11" s="121"/>
      <c r="F11" s="35" t="s">
        <v>20</v>
      </c>
      <c r="G11" s="36">
        <f>I10/F10</f>
        <v>0</v>
      </c>
      <c r="H11" s="37"/>
      <c r="I11" s="38"/>
      <c r="J11" s="39"/>
      <c r="K11" s="40"/>
      <c r="L11" s="41"/>
    </row>
    <row r="12" spans="1:12" x14ac:dyDescent="0.3">
      <c r="A12" s="12"/>
      <c r="B12" s="12"/>
      <c r="C12" s="14"/>
      <c r="D12" s="120" t="s">
        <v>21</v>
      </c>
      <c r="E12" s="121"/>
      <c r="F12" s="35" t="s">
        <v>20</v>
      </c>
      <c r="G12" s="36">
        <f>L10/F10</f>
        <v>0</v>
      </c>
      <c r="H12" s="37"/>
      <c r="I12" s="38"/>
      <c r="J12" s="39"/>
      <c r="K12" s="40"/>
      <c r="L12" s="41"/>
    </row>
    <row r="13" spans="1:12" x14ac:dyDescent="0.3">
      <c r="A13" s="12"/>
      <c r="B13" s="12"/>
      <c r="C13" s="14"/>
      <c r="D13" s="33"/>
      <c r="E13" s="34"/>
      <c r="F13" s="35"/>
      <c r="G13" s="36"/>
      <c r="H13" s="37"/>
      <c r="I13" s="38"/>
      <c r="J13" s="39"/>
      <c r="K13" s="40"/>
      <c r="L13" s="41"/>
    </row>
    <row r="14" spans="1:12" x14ac:dyDescent="0.3">
      <c r="A14" s="9" t="s">
        <v>22</v>
      </c>
      <c r="B14" s="42" t="s">
        <v>150</v>
      </c>
      <c r="C14" s="14" t="str">
        <f>C9</f>
        <v>DARK BROWN</v>
      </c>
      <c r="D14" s="14" t="s">
        <v>24</v>
      </c>
      <c r="E14" s="14">
        <v>2.5</v>
      </c>
      <c r="F14" s="41">
        <f>E14*F10</f>
        <v>2.5</v>
      </c>
      <c r="G14" s="14">
        <v>65</v>
      </c>
      <c r="H14" s="37">
        <f>E14*G14</f>
        <v>162.5</v>
      </c>
      <c r="I14" s="38">
        <f>F14*G14</f>
        <v>162.5</v>
      </c>
      <c r="J14" s="39">
        <v>0.12</v>
      </c>
      <c r="K14" s="40">
        <f>I14*J14</f>
        <v>19.5</v>
      </c>
      <c r="L14" s="41">
        <f>I14+K14</f>
        <v>182</v>
      </c>
    </row>
    <row r="15" spans="1:12" x14ac:dyDescent="0.3">
      <c r="A15" s="9"/>
      <c r="B15" s="42" t="s">
        <v>153</v>
      </c>
      <c r="C15" s="14" t="str">
        <f>C9</f>
        <v>DARK BROWN</v>
      </c>
      <c r="D15" s="14" t="s">
        <v>24</v>
      </c>
      <c r="E15" s="14">
        <v>1.5</v>
      </c>
      <c r="F15" s="41">
        <f>F10*E15</f>
        <v>1.5</v>
      </c>
      <c r="G15" s="14">
        <v>45</v>
      </c>
      <c r="H15" s="37">
        <f>E15*G15</f>
        <v>67.5</v>
      </c>
      <c r="I15" s="38">
        <f>F15*G15</f>
        <v>67.5</v>
      </c>
      <c r="J15" s="39">
        <v>0.12</v>
      </c>
      <c r="K15" s="40">
        <f>I15*J15</f>
        <v>8.1</v>
      </c>
      <c r="L15" s="41">
        <f>I15+K15</f>
        <v>75.599999999999994</v>
      </c>
    </row>
    <row r="16" spans="1:12" x14ac:dyDescent="0.3">
      <c r="A16" s="9"/>
      <c r="B16" s="42" t="s">
        <v>152</v>
      </c>
      <c r="C16" s="14" t="str">
        <f>C9</f>
        <v>DARK BROWN</v>
      </c>
      <c r="D16" s="14" t="s">
        <v>24</v>
      </c>
      <c r="E16" s="14">
        <v>1</v>
      </c>
      <c r="F16" s="41">
        <f>E16*F10</f>
        <v>1</v>
      </c>
      <c r="G16" s="14">
        <v>38</v>
      </c>
      <c r="H16" s="37">
        <f>E16*G16</f>
        <v>38</v>
      </c>
      <c r="I16" s="38">
        <f>F16*G16</f>
        <v>38</v>
      </c>
      <c r="J16" s="39">
        <v>0.12</v>
      </c>
      <c r="K16" s="40">
        <f>I16*J16</f>
        <v>4.5599999999999996</v>
      </c>
      <c r="L16" s="41">
        <f>I16+K16</f>
        <v>42.56</v>
      </c>
    </row>
    <row r="17" spans="1:12" x14ac:dyDescent="0.3">
      <c r="A17" s="9"/>
      <c r="B17" s="42" t="s">
        <v>155</v>
      </c>
      <c r="C17" s="14" t="str">
        <f>C9</f>
        <v>DARK BROWN</v>
      </c>
      <c r="D17" s="14" t="s">
        <v>24</v>
      </c>
      <c r="E17" s="14">
        <v>1.5</v>
      </c>
      <c r="F17" s="41">
        <f>E17*F10</f>
        <v>1.5</v>
      </c>
      <c r="G17" s="14">
        <f>38*2</f>
        <v>76</v>
      </c>
      <c r="H17" s="37">
        <f>E17*G17</f>
        <v>114</v>
      </c>
      <c r="I17" s="38">
        <f>F17*G17</f>
        <v>114</v>
      </c>
      <c r="J17" s="39">
        <v>0.12</v>
      </c>
      <c r="K17" s="40">
        <f>I17*J17</f>
        <v>13.68</v>
      </c>
      <c r="L17" s="41">
        <f>I17+K17</f>
        <v>127.68</v>
      </c>
    </row>
    <row r="18" spans="1:12" x14ac:dyDescent="0.3">
      <c r="A18" s="9"/>
      <c r="B18" s="42"/>
      <c r="C18" s="14"/>
      <c r="D18" s="14"/>
      <c r="E18" s="14"/>
      <c r="F18" s="41"/>
      <c r="G18" s="14"/>
      <c r="H18" s="37"/>
      <c r="I18" s="38"/>
      <c r="J18" s="39"/>
      <c r="K18" s="40"/>
      <c r="L18" s="41"/>
    </row>
    <row r="19" spans="1:12" x14ac:dyDescent="0.3">
      <c r="A19" s="9" t="s">
        <v>26</v>
      </c>
      <c r="B19" s="12" t="s">
        <v>27</v>
      </c>
      <c r="C19" s="14" t="str">
        <f>C9</f>
        <v>DARK BROWN</v>
      </c>
      <c r="D19" s="14" t="s">
        <v>28</v>
      </c>
      <c r="E19" s="14">
        <v>150</v>
      </c>
      <c r="F19" s="41">
        <f>E19*F10</f>
        <v>150</v>
      </c>
      <c r="G19" s="14">
        <v>125</v>
      </c>
      <c r="H19" s="37">
        <f>F19/1000*G19/F10</f>
        <v>18.75</v>
      </c>
      <c r="I19" s="38">
        <f>F19/1000*G19</f>
        <v>18.75</v>
      </c>
      <c r="J19" s="39">
        <v>0.12</v>
      </c>
      <c r="K19" s="40">
        <f>I19*J19</f>
        <v>2.25</v>
      </c>
      <c r="L19" s="41">
        <f>I19+K19</f>
        <v>21</v>
      </c>
    </row>
    <row r="20" spans="1:12" x14ac:dyDescent="0.3">
      <c r="A20" s="9"/>
      <c r="B20" s="12" t="s">
        <v>29</v>
      </c>
      <c r="C20" s="14" t="str">
        <f>C9</f>
        <v>DARK BROWN</v>
      </c>
      <c r="D20" s="14" t="s">
        <v>28</v>
      </c>
      <c r="E20" s="14">
        <v>150</v>
      </c>
      <c r="F20" s="41">
        <f>E20*F10</f>
        <v>150</v>
      </c>
      <c r="G20" s="14">
        <v>257</v>
      </c>
      <c r="H20" s="37">
        <f>F20/5000*G20/F10</f>
        <v>7.71</v>
      </c>
      <c r="I20" s="38">
        <f>H20*F10</f>
        <v>7.71</v>
      </c>
      <c r="J20" s="39">
        <v>0.12</v>
      </c>
      <c r="K20" s="40">
        <f>I20*J20</f>
        <v>0.92519999999999991</v>
      </c>
      <c r="L20" s="41">
        <f>I20+K20</f>
        <v>8.6351999999999993</v>
      </c>
    </row>
    <row r="21" spans="1:12" x14ac:dyDescent="0.3">
      <c r="A21" s="9"/>
      <c r="B21" s="12"/>
      <c r="C21" s="14"/>
      <c r="D21" s="14"/>
      <c r="E21" s="14"/>
      <c r="F21" s="41"/>
      <c r="G21" s="14"/>
      <c r="H21" s="37"/>
      <c r="I21" s="38"/>
      <c r="J21" s="39"/>
      <c r="K21" s="40"/>
      <c r="L21" s="41"/>
    </row>
    <row r="22" spans="1:12" x14ac:dyDescent="0.3">
      <c r="A22" s="9"/>
      <c r="B22" s="12" t="s">
        <v>146</v>
      </c>
      <c r="C22" s="14" t="str">
        <f>C9</f>
        <v>DARK BROWN</v>
      </c>
      <c r="D22" s="14" t="s">
        <v>34</v>
      </c>
      <c r="E22" s="14">
        <v>7</v>
      </c>
      <c r="F22" s="41">
        <f>E22*F10</f>
        <v>7</v>
      </c>
      <c r="G22" s="14">
        <v>6</v>
      </c>
      <c r="H22" s="37">
        <f>E22*G22</f>
        <v>42</v>
      </c>
      <c r="I22" s="38">
        <f>F22*G22</f>
        <v>42</v>
      </c>
      <c r="J22" s="39">
        <v>0.18</v>
      </c>
      <c r="K22" s="40">
        <f>I22*J22</f>
        <v>7.56</v>
      </c>
      <c r="L22" s="41">
        <f>I22+K22</f>
        <v>49.56</v>
      </c>
    </row>
    <row r="23" spans="1:12" x14ac:dyDescent="0.3">
      <c r="A23" s="9"/>
      <c r="B23" s="12" t="s">
        <v>151</v>
      </c>
      <c r="C23" s="14" t="str">
        <f>C9</f>
        <v>DARK BROWN</v>
      </c>
      <c r="D23" s="14" t="s">
        <v>34</v>
      </c>
      <c r="E23" s="14">
        <v>0.5</v>
      </c>
      <c r="F23" s="41">
        <f>E23*F10</f>
        <v>0.5</v>
      </c>
      <c r="G23" s="14">
        <v>15</v>
      </c>
      <c r="H23" s="37">
        <f>E23*G23</f>
        <v>7.5</v>
      </c>
      <c r="I23" s="38">
        <f>F23*G23</f>
        <v>7.5</v>
      </c>
      <c r="J23" s="39">
        <v>0.18</v>
      </c>
      <c r="K23" s="40">
        <f>I23*J23</f>
        <v>1.3499999999999999</v>
      </c>
      <c r="L23" s="41">
        <f>I23+K23</f>
        <v>8.85</v>
      </c>
    </row>
    <row r="24" spans="1:12" x14ac:dyDescent="0.3">
      <c r="A24" s="9"/>
      <c r="B24" s="12" t="s">
        <v>230</v>
      </c>
      <c r="C24" s="14">
        <f>C10</f>
        <v>0</v>
      </c>
      <c r="D24" s="14" t="s">
        <v>34</v>
      </c>
      <c r="E24" s="14">
        <v>5</v>
      </c>
      <c r="F24" s="41">
        <f>F10*E24</f>
        <v>5</v>
      </c>
      <c r="G24" s="14">
        <v>3.5</v>
      </c>
      <c r="H24" s="37">
        <f>E24*G24</f>
        <v>17.5</v>
      </c>
      <c r="I24" s="38">
        <f>F24*G24</f>
        <v>17.5</v>
      </c>
      <c r="J24" s="39">
        <v>0.18</v>
      </c>
      <c r="K24" s="40">
        <f>I24*J24</f>
        <v>3.15</v>
      </c>
      <c r="L24" s="41">
        <f>I24+K24</f>
        <v>20.65</v>
      </c>
    </row>
    <row r="25" spans="1:12" x14ac:dyDescent="0.3">
      <c r="A25" s="12"/>
      <c r="B25" s="12"/>
      <c r="C25" s="14"/>
      <c r="D25" s="14"/>
      <c r="E25" s="14"/>
      <c r="F25" s="12"/>
      <c r="G25" s="14"/>
      <c r="H25" s="37"/>
      <c r="I25" s="38"/>
      <c r="J25" s="39"/>
      <c r="K25" s="40"/>
      <c r="L25" s="41"/>
    </row>
    <row r="26" spans="1:12" x14ac:dyDescent="0.3">
      <c r="A26" s="12" t="s">
        <v>47</v>
      </c>
      <c r="B26" s="12" t="s">
        <v>154</v>
      </c>
      <c r="C26" s="14" t="s">
        <v>36</v>
      </c>
      <c r="D26" s="14" t="s">
        <v>43</v>
      </c>
      <c r="E26" s="14">
        <v>1</v>
      </c>
      <c r="F26" s="41">
        <f>E26*F10</f>
        <v>1</v>
      </c>
      <c r="G26" s="14">
        <v>7.5</v>
      </c>
      <c r="H26" s="37">
        <f>E26*G26</f>
        <v>7.5</v>
      </c>
      <c r="I26" s="38">
        <f>F26*G26</f>
        <v>7.5</v>
      </c>
      <c r="J26" s="39">
        <v>0.12</v>
      </c>
      <c r="K26" s="40">
        <f>I26*J26</f>
        <v>0.89999999999999991</v>
      </c>
      <c r="L26" s="41">
        <f>I26+K26</f>
        <v>8.4</v>
      </c>
    </row>
    <row r="27" spans="1:12" x14ac:dyDescent="0.3">
      <c r="A27" s="12"/>
      <c r="B27" s="12" t="s">
        <v>49</v>
      </c>
      <c r="C27" s="14" t="s">
        <v>36</v>
      </c>
      <c r="D27" s="14" t="s">
        <v>43</v>
      </c>
      <c r="E27" s="14">
        <v>1</v>
      </c>
      <c r="F27" s="41">
        <f>E27*F10</f>
        <v>1</v>
      </c>
      <c r="G27" s="14">
        <v>3.5</v>
      </c>
      <c r="H27" s="37">
        <f>E27*G27</f>
        <v>3.5</v>
      </c>
      <c r="I27" s="38">
        <f>F27*G27</f>
        <v>3.5</v>
      </c>
      <c r="J27" s="39">
        <v>0.12</v>
      </c>
      <c r="K27" s="40">
        <f>I27*J27</f>
        <v>0.42</v>
      </c>
      <c r="L27" s="41">
        <f>I27+K27</f>
        <v>3.92</v>
      </c>
    </row>
    <row r="28" spans="1:12" x14ac:dyDescent="0.3">
      <c r="A28" s="9"/>
      <c r="B28" s="12" t="s">
        <v>50</v>
      </c>
      <c r="C28" s="14" t="s">
        <v>36</v>
      </c>
      <c r="D28" s="14" t="s">
        <v>43</v>
      </c>
      <c r="E28" s="14">
        <v>1</v>
      </c>
      <c r="F28" s="41">
        <f>E28*F10</f>
        <v>1</v>
      </c>
      <c r="G28" s="14">
        <v>4</v>
      </c>
      <c r="H28" s="37">
        <v>4</v>
      </c>
      <c r="I28" s="38">
        <f>F28*G28</f>
        <v>4</v>
      </c>
      <c r="J28" s="39">
        <v>0.12</v>
      </c>
      <c r="K28" s="40">
        <f>I28*J28</f>
        <v>0.48</v>
      </c>
      <c r="L28" s="41">
        <f>I28+K28</f>
        <v>4.4800000000000004</v>
      </c>
    </row>
    <row r="29" spans="1:12" x14ac:dyDescent="0.3">
      <c r="A29" s="9"/>
      <c r="B29" s="12"/>
      <c r="C29" s="14"/>
      <c r="D29" s="14"/>
      <c r="E29" s="14"/>
      <c r="F29" s="41"/>
      <c r="G29" s="14"/>
      <c r="H29" s="12"/>
      <c r="I29" s="41"/>
      <c r="J29" s="39"/>
      <c r="K29" s="41"/>
      <c r="L29" s="41"/>
    </row>
    <row r="30" spans="1:12" ht="39.6" x14ac:dyDescent="0.3">
      <c r="A30" s="44" t="s">
        <v>51</v>
      </c>
      <c r="B30" s="21" t="s">
        <v>52</v>
      </c>
      <c r="C30" s="23" t="s">
        <v>36</v>
      </c>
      <c r="D30" s="23" t="s">
        <v>43</v>
      </c>
      <c r="E30" s="23">
        <v>1</v>
      </c>
      <c r="F30" s="45">
        <f>F10*E30</f>
        <v>1</v>
      </c>
      <c r="G30" s="23">
        <v>12</v>
      </c>
      <c r="H30" s="46">
        <f t="shared" ref="H30:H35" si="0">E30*G30</f>
        <v>12</v>
      </c>
      <c r="I30" s="47">
        <f t="shared" ref="I30:I34" si="1">F30*G30</f>
        <v>12</v>
      </c>
      <c r="J30" s="48">
        <v>0.18</v>
      </c>
      <c r="K30" s="49">
        <f t="shared" ref="K30:K35" si="2">I30*J30</f>
        <v>2.16</v>
      </c>
      <c r="L30" s="45">
        <f t="shared" ref="L30:L36" si="3">I30+K30</f>
        <v>14.16</v>
      </c>
    </row>
    <row r="31" spans="1:12" x14ac:dyDescent="0.3">
      <c r="A31" s="12"/>
      <c r="B31" s="12" t="s">
        <v>53</v>
      </c>
      <c r="C31" s="14" t="s">
        <v>36</v>
      </c>
      <c r="D31" s="14" t="s">
        <v>43</v>
      </c>
      <c r="E31" s="14">
        <v>1</v>
      </c>
      <c r="F31" s="41">
        <f>E31*F10</f>
        <v>1</v>
      </c>
      <c r="G31" s="14">
        <v>0</v>
      </c>
      <c r="H31" s="37">
        <f t="shared" si="0"/>
        <v>0</v>
      </c>
      <c r="I31" s="38">
        <f t="shared" si="1"/>
        <v>0</v>
      </c>
      <c r="J31" s="39">
        <v>0.18</v>
      </c>
      <c r="K31" s="40">
        <f t="shared" si="2"/>
        <v>0</v>
      </c>
      <c r="L31" s="41">
        <f t="shared" si="3"/>
        <v>0</v>
      </c>
    </row>
    <row r="32" spans="1:12" x14ac:dyDescent="0.3">
      <c r="A32" s="12"/>
      <c r="B32" s="12" t="s">
        <v>54</v>
      </c>
      <c r="C32" s="14" t="s">
        <v>36</v>
      </c>
      <c r="D32" s="14" t="s">
        <v>55</v>
      </c>
      <c r="E32" s="14">
        <v>1</v>
      </c>
      <c r="F32" s="41">
        <f>E32*F10</f>
        <v>1</v>
      </c>
      <c r="G32" s="14">
        <v>0</v>
      </c>
      <c r="H32" s="37">
        <f t="shared" si="0"/>
        <v>0</v>
      </c>
      <c r="I32" s="38">
        <f t="shared" si="1"/>
        <v>0</v>
      </c>
      <c r="J32" s="39">
        <v>0.18</v>
      </c>
      <c r="K32" s="40">
        <f t="shared" si="2"/>
        <v>0</v>
      </c>
      <c r="L32" s="41">
        <f t="shared" si="3"/>
        <v>0</v>
      </c>
    </row>
    <row r="33" spans="1:12" x14ac:dyDescent="0.3">
      <c r="A33" s="12"/>
      <c r="B33" s="12" t="s">
        <v>56</v>
      </c>
      <c r="C33" s="14" t="s">
        <v>36</v>
      </c>
      <c r="D33" s="14" t="s">
        <v>55</v>
      </c>
      <c r="E33" s="14">
        <v>0.2</v>
      </c>
      <c r="F33" s="41">
        <f>E33*F10</f>
        <v>0.2</v>
      </c>
      <c r="G33" s="14">
        <v>115</v>
      </c>
      <c r="H33" s="37">
        <v>15</v>
      </c>
      <c r="I33" s="38">
        <f>H33*F10</f>
        <v>15</v>
      </c>
      <c r="J33" s="39">
        <v>0.18</v>
      </c>
      <c r="K33" s="40">
        <f t="shared" si="2"/>
        <v>2.6999999999999997</v>
      </c>
      <c r="L33" s="41">
        <f t="shared" si="3"/>
        <v>17.7</v>
      </c>
    </row>
    <row r="34" spans="1:12" x14ac:dyDescent="0.3">
      <c r="A34" s="12"/>
      <c r="B34" s="12" t="s">
        <v>57</v>
      </c>
      <c r="C34" s="14" t="s">
        <v>36</v>
      </c>
      <c r="D34" s="14" t="s">
        <v>58</v>
      </c>
      <c r="E34" s="14">
        <v>2</v>
      </c>
      <c r="F34" s="41">
        <f>E34*F10</f>
        <v>2</v>
      </c>
      <c r="G34" s="14">
        <v>1.35</v>
      </c>
      <c r="H34" s="37">
        <f t="shared" si="0"/>
        <v>2.7</v>
      </c>
      <c r="I34" s="38">
        <f t="shared" si="1"/>
        <v>2.7</v>
      </c>
      <c r="J34" s="39">
        <v>0.18</v>
      </c>
      <c r="K34" s="40">
        <f t="shared" si="2"/>
        <v>0.48599999999999999</v>
      </c>
      <c r="L34" s="41">
        <f t="shared" si="3"/>
        <v>3.1859999999999999</v>
      </c>
    </row>
    <row r="35" spans="1:12" x14ac:dyDescent="0.3">
      <c r="A35" s="12"/>
      <c r="B35" s="12" t="s">
        <v>59</v>
      </c>
      <c r="C35" s="14" t="s">
        <v>36</v>
      </c>
      <c r="D35" s="14" t="s">
        <v>43</v>
      </c>
      <c r="E35" s="14">
        <v>7.0000000000000007E-2</v>
      </c>
      <c r="F35" s="41">
        <f>E35*F10</f>
        <v>7.0000000000000007E-2</v>
      </c>
      <c r="G35" s="14">
        <v>168</v>
      </c>
      <c r="H35" s="37">
        <f t="shared" si="0"/>
        <v>11.760000000000002</v>
      </c>
      <c r="I35" s="38">
        <f>F35*G35</f>
        <v>11.760000000000002</v>
      </c>
      <c r="J35" s="39">
        <v>0.18</v>
      </c>
      <c r="K35" s="40">
        <f t="shared" si="2"/>
        <v>2.1168</v>
      </c>
      <c r="L35" s="41">
        <f t="shared" si="3"/>
        <v>13.876800000000001</v>
      </c>
    </row>
    <row r="36" spans="1:12" x14ac:dyDescent="0.3">
      <c r="A36" s="12"/>
      <c r="B36" s="12" t="s">
        <v>60</v>
      </c>
      <c r="C36" s="14" t="s">
        <v>61</v>
      </c>
      <c r="D36" s="14" t="s">
        <v>62</v>
      </c>
      <c r="E36" s="14">
        <f>0.1</f>
        <v>0.1</v>
      </c>
      <c r="F36" s="41">
        <f>E36*F10</f>
        <v>0.1</v>
      </c>
      <c r="G36" s="14">
        <v>54</v>
      </c>
      <c r="H36" s="37">
        <f>E36*G36</f>
        <v>5.4</v>
      </c>
      <c r="I36" s="38">
        <f>F36*G36</f>
        <v>5.4</v>
      </c>
      <c r="J36" s="39">
        <v>0.18</v>
      </c>
      <c r="K36" s="40">
        <f>I36*J36</f>
        <v>0.97199999999999998</v>
      </c>
      <c r="L36" s="41">
        <f t="shared" si="3"/>
        <v>6.3719999999999999</v>
      </c>
    </row>
    <row r="37" spans="1:12" x14ac:dyDescent="0.3">
      <c r="A37" s="12"/>
      <c r="B37" s="12"/>
      <c r="C37" s="14"/>
      <c r="D37" s="14"/>
      <c r="E37" s="14"/>
      <c r="F37" s="41"/>
      <c r="G37" s="14"/>
      <c r="H37" s="50">
        <f>SUM(H14:H36)</f>
        <v>537.32000000000005</v>
      </c>
      <c r="I37" s="50">
        <f>SUM(I14:I36)</f>
        <v>537.32000000000005</v>
      </c>
      <c r="J37" s="51"/>
      <c r="K37" s="52">
        <f>SUM(K14:K36)</f>
        <v>71.31</v>
      </c>
      <c r="L37" s="53">
        <f>SUM(L14:L36)</f>
        <v>608.63</v>
      </c>
    </row>
    <row r="38" spans="1:12" x14ac:dyDescent="0.3">
      <c r="A38" s="12" t="s">
        <v>63</v>
      </c>
      <c r="B38" s="12" t="s">
        <v>64</v>
      </c>
      <c r="C38" s="15"/>
      <c r="D38" s="14" t="s">
        <v>43</v>
      </c>
      <c r="E38" s="14">
        <f>C38*1%</f>
        <v>0</v>
      </c>
      <c r="F38" s="41">
        <f>F10</f>
        <v>1</v>
      </c>
      <c r="G38" s="14">
        <f>E38</f>
        <v>0</v>
      </c>
      <c r="H38" s="38">
        <f>G38</f>
        <v>0</v>
      </c>
      <c r="I38" s="38">
        <f>H38*F38</f>
        <v>0</v>
      </c>
      <c r="J38" s="39">
        <v>0.18</v>
      </c>
      <c r="K38" s="40">
        <f t="shared" ref="K38:K46" si="4">I38*J38</f>
        <v>0</v>
      </c>
      <c r="L38" s="41">
        <f t="shared" ref="L38:L46" si="5">I38+K38</f>
        <v>0</v>
      </c>
    </row>
    <row r="39" spans="1:12" x14ac:dyDescent="0.3">
      <c r="A39" s="12"/>
      <c r="B39" s="12" t="s">
        <v>65</v>
      </c>
      <c r="C39" s="15"/>
      <c r="D39" s="14" t="s">
        <v>43</v>
      </c>
      <c r="E39" s="14">
        <f>C39*1%</f>
        <v>0</v>
      </c>
      <c r="F39" s="41">
        <f>F10</f>
        <v>1</v>
      </c>
      <c r="G39" s="14">
        <f>E39</f>
        <v>0</v>
      </c>
      <c r="H39" s="38">
        <f>G39</f>
        <v>0</v>
      </c>
      <c r="I39" s="38">
        <f>H39*F39</f>
        <v>0</v>
      </c>
      <c r="J39" s="39">
        <v>0.18</v>
      </c>
      <c r="K39" s="40">
        <f t="shared" si="4"/>
        <v>0</v>
      </c>
      <c r="L39" s="41">
        <f t="shared" si="5"/>
        <v>0</v>
      </c>
    </row>
    <row r="40" spans="1:12" x14ac:dyDescent="0.3">
      <c r="A40" s="12"/>
      <c r="B40" s="12" t="s">
        <v>66</v>
      </c>
      <c r="C40" s="15"/>
      <c r="D40" s="14" t="s">
        <v>43</v>
      </c>
      <c r="E40" s="14">
        <f>C40*5%</f>
        <v>0</v>
      </c>
      <c r="F40" s="41">
        <f>F10</f>
        <v>1</v>
      </c>
      <c r="G40" s="14">
        <f t="shared" ref="G40:G45" si="6">E40</f>
        <v>0</v>
      </c>
      <c r="H40" s="38">
        <f t="shared" ref="H40:H45" si="7">G40</f>
        <v>0</v>
      </c>
      <c r="I40" s="38">
        <f>H40*F40</f>
        <v>0</v>
      </c>
      <c r="J40" s="39"/>
      <c r="K40" s="40">
        <f t="shared" si="4"/>
        <v>0</v>
      </c>
      <c r="L40" s="41">
        <f t="shared" si="5"/>
        <v>0</v>
      </c>
    </row>
    <row r="41" spans="1:12" x14ac:dyDescent="0.3">
      <c r="A41" s="12"/>
      <c r="B41" s="12" t="s">
        <v>67</v>
      </c>
      <c r="C41" s="15"/>
      <c r="D41" s="14" t="s">
        <v>43</v>
      </c>
      <c r="E41" s="14">
        <f>C41*7%</f>
        <v>0</v>
      </c>
      <c r="F41" s="41">
        <f>F10</f>
        <v>1</v>
      </c>
      <c r="G41" s="14">
        <f t="shared" si="6"/>
        <v>0</v>
      </c>
      <c r="H41" s="38">
        <f t="shared" si="7"/>
        <v>0</v>
      </c>
      <c r="I41" s="38">
        <f>H41*F41</f>
        <v>0</v>
      </c>
      <c r="J41" s="12"/>
      <c r="K41" s="40">
        <f t="shared" si="4"/>
        <v>0</v>
      </c>
      <c r="L41" s="41">
        <f t="shared" si="5"/>
        <v>0</v>
      </c>
    </row>
    <row r="42" spans="1:12" x14ac:dyDescent="0.3">
      <c r="A42" s="9" t="s">
        <v>68</v>
      </c>
      <c r="B42" s="12" t="s">
        <v>69</v>
      </c>
      <c r="C42" s="15"/>
      <c r="D42" s="14" t="s">
        <v>43</v>
      </c>
      <c r="E42" s="14">
        <f>C42*2.5%</f>
        <v>0</v>
      </c>
      <c r="F42" s="41">
        <f>F10</f>
        <v>1</v>
      </c>
      <c r="G42" s="14">
        <f t="shared" si="6"/>
        <v>0</v>
      </c>
      <c r="H42" s="38">
        <f t="shared" si="7"/>
        <v>0</v>
      </c>
      <c r="I42" s="38">
        <f t="shared" ref="I42:I46" si="8">H42*F42</f>
        <v>0</v>
      </c>
      <c r="J42" s="12"/>
      <c r="K42" s="40">
        <f t="shared" si="4"/>
        <v>0</v>
      </c>
      <c r="L42" s="41">
        <f t="shared" si="5"/>
        <v>0</v>
      </c>
    </row>
    <row r="43" spans="1:12" x14ac:dyDescent="0.3">
      <c r="A43" s="12"/>
      <c r="B43" s="12" t="s">
        <v>70</v>
      </c>
      <c r="C43" s="15"/>
      <c r="D43" s="14" t="s">
        <v>43</v>
      </c>
      <c r="E43" s="14">
        <f>C43*2%</f>
        <v>0</v>
      </c>
      <c r="F43" s="41">
        <f>F10</f>
        <v>1</v>
      </c>
      <c r="G43" s="14">
        <f t="shared" si="6"/>
        <v>0</v>
      </c>
      <c r="H43" s="38">
        <f t="shared" si="7"/>
        <v>0</v>
      </c>
      <c r="I43" s="38">
        <f t="shared" si="8"/>
        <v>0</v>
      </c>
      <c r="J43" s="12"/>
      <c r="K43" s="40">
        <f t="shared" si="4"/>
        <v>0</v>
      </c>
      <c r="L43" s="41">
        <f t="shared" si="5"/>
        <v>0</v>
      </c>
    </row>
    <row r="44" spans="1:12" x14ac:dyDescent="0.3">
      <c r="A44" s="12"/>
      <c r="B44" s="12" t="s">
        <v>71</v>
      </c>
      <c r="C44" s="15"/>
      <c r="D44" s="14" t="s">
        <v>43</v>
      </c>
      <c r="E44" s="14">
        <v>600</v>
      </c>
      <c r="F44" s="41">
        <f>F10</f>
        <v>1</v>
      </c>
      <c r="G44" s="14">
        <f t="shared" si="6"/>
        <v>600</v>
      </c>
      <c r="H44" s="38">
        <f t="shared" si="7"/>
        <v>600</v>
      </c>
      <c r="I44" s="38">
        <f t="shared" si="8"/>
        <v>600</v>
      </c>
      <c r="J44" s="12"/>
      <c r="K44" s="40">
        <f t="shared" si="4"/>
        <v>0</v>
      </c>
      <c r="L44" s="41">
        <f t="shared" si="5"/>
        <v>600</v>
      </c>
    </row>
    <row r="45" spans="1:12" x14ac:dyDescent="0.3">
      <c r="A45" s="12"/>
      <c r="B45" s="12" t="s">
        <v>72</v>
      </c>
      <c r="C45" s="15">
        <f>B51</f>
        <v>1190</v>
      </c>
      <c r="D45" s="14" t="s">
        <v>43</v>
      </c>
      <c r="E45" s="14">
        <f>C45*5%</f>
        <v>59.5</v>
      </c>
      <c r="F45" s="41">
        <f>F10</f>
        <v>1</v>
      </c>
      <c r="G45" s="14">
        <f t="shared" si="6"/>
        <v>59.5</v>
      </c>
      <c r="H45" s="38">
        <f t="shared" si="7"/>
        <v>59.5</v>
      </c>
      <c r="I45" s="38">
        <f t="shared" si="8"/>
        <v>59.5</v>
      </c>
      <c r="J45" s="12"/>
      <c r="K45" s="40">
        <f t="shared" si="4"/>
        <v>0</v>
      </c>
      <c r="L45" s="41">
        <f t="shared" si="5"/>
        <v>59.5</v>
      </c>
    </row>
    <row r="46" spans="1:12" x14ac:dyDescent="0.3">
      <c r="A46" s="12" t="s">
        <v>73</v>
      </c>
      <c r="B46" s="54" t="s">
        <v>74</v>
      </c>
      <c r="C46" s="55"/>
      <c r="D46" s="55" t="s">
        <v>43</v>
      </c>
      <c r="E46" s="55">
        <v>0</v>
      </c>
      <c r="F46" s="41">
        <f>F10</f>
        <v>1</v>
      </c>
      <c r="G46" s="55">
        <v>0</v>
      </c>
      <c r="H46" s="56">
        <v>0</v>
      </c>
      <c r="I46" s="38">
        <f t="shared" si="8"/>
        <v>0</v>
      </c>
      <c r="J46" s="54"/>
      <c r="K46" s="57">
        <f t="shared" si="4"/>
        <v>0</v>
      </c>
      <c r="L46" s="58">
        <f t="shared" si="5"/>
        <v>0</v>
      </c>
    </row>
    <row r="47" spans="1:12" x14ac:dyDescent="0.3">
      <c r="A47" s="2"/>
      <c r="B47" s="2"/>
      <c r="C47" s="1"/>
      <c r="D47" s="1"/>
      <c r="E47" s="1"/>
      <c r="F47" s="59">
        <f>F10</f>
        <v>1</v>
      </c>
      <c r="G47" s="1"/>
      <c r="H47" s="59">
        <f>SUM(H37:H46)</f>
        <v>1196.8200000000002</v>
      </c>
      <c r="I47" s="59">
        <f>SUM(I37:I46)</f>
        <v>1196.8200000000002</v>
      </c>
      <c r="J47" s="60"/>
      <c r="K47" s="59">
        <f>SUM(K37:K46)</f>
        <v>71.31</v>
      </c>
      <c r="L47" s="59">
        <f>SUM(L37:L46)</f>
        <v>1268.1300000000001</v>
      </c>
    </row>
    <row r="48" spans="1:12" x14ac:dyDescent="0.3">
      <c r="A48" s="2"/>
      <c r="B48" s="2"/>
      <c r="C48" s="1"/>
      <c r="D48" s="1"/>
      <c r="E48" s="1"/>
      <c r="F48" s="2"/>
      <c r="G48" s="1"/>
      <c r="H48" s="61"/>
      <c r="I48" s="61"/>
    </row>
    <row r="49" spans="1:12" ht="46.2" customHeight="1" x14ac:dyDescent="0.3">
      <c r="A49" s="2"/>
      <c r="B49" s="2"/>
      <c r="C49" s="1"/>
      <c r="D49" s="1"/>
      <c r="E49" s="1"/>
      <c r="F49" s="2"/>
      <c r="G49" s="62" t="s">
        <v>75</v>
      </c>
      <c r="H49" s="2"/>
      <c r="I49" s="2"/>
      <c r="J49" s="2"/>
      <c r="K49" s="61"/>
      <c r="L49" s="2"/>
    </row>
    <row r="50" spans="1:12" ht="18" x14ac:dyDescent="0.35">
      <c r="A50" s="63" t="s">
        <v>76</v>
      </c>
      <c r="B50" s="64">
        <v>14</v>
      </c>
      <c r="C50" s="122" t="s">
        <v>77</v>
      </c>
      <c r="D50" s="122"/>
      <c r="E50" s="122"/>
      <c r="F50" s="122"/>
      <c r="G50" s="65">
        <f>G11</f>
        <v>0</v>
      </c>
      <c r="H50" s="1"/>
      <c r="I50" s="1"/>
      <c r="J50" s="2"/>
      <c r="K50" s="2"/>
      <c r="L50" s="2"/>
    </row>
    <row r="51" spans="1:12" ht="18" x14ac:dyDescent="0.35">
      <c r="A51" s="63">
        <v>85</v>
      </c>
      <c r="B51" s="63">
        <f>B50*A51</f>
        <v>1190</v>
      </c>
      <c r="C51" s="122" t="s">
        <v>78</v>
      </c>
      <c r="D51" s="122"/>
      <c r="E51" s="122"/>
      <c r="F51" s="122"/>
      <c r="G51" s="65">
        <f>I47/F10</f>
        <v>1196.8200000000002</v>
      </c>
      <c r="H51" s="1"/>
      <c r="I51" s="1"/>
      <c r="J51" s="2"/>
      <c r="K51" s="2"/>
      <c r="L51" s="2"/>
    </row>
    <row r="52" spans="1:12" x14ac:dyDescent="0.3">
      <c r="A52" s="2"/>
      <c r="B52" s="2"/>
      <c r="C52" s="130" t="s">
        <v>79</v>
      </c>
      <c r="D52" s="130"/>
      <c r="E52" s="130"/>
      <c r="F52" s="130"/>
      <c r="G52" s="67">
        <f>SUM(G50:G51)</f>
        <v>1196.8200000000002</v>
      </c>
      <c r="H52" s="1"/>
      <c r="I52" s="1"/>
      <c r="J52" s="2"/>
      <c r="K52" s="2"/>
      <c r="L52" s="2"/>
    </row>
    <row r="53" spans="1:12" ht="14.4" customHeight="1" x14ac:dyDescent="0.35">
      <c r="A53" s="63" t="s">
        <v>76</v>
      </c>
      <c r="B53" s="64">
        <f>H54</f>
        <v>12.598105263157896</v>
      </c>
      <c r="C53" s="2"/>
      <c r="G53" s="1"/>
      <c r="H53" s="1"/>
      <c r="I53" s="1"/>
      <c r="J53" s="2"/>
      <c r="K53" s="2"/>
      <c r="L53" s="2"/>
    </row>
    <row r="54" spans="1:12" ht="14.4" customHeight="1" x14ac:dyDescent="0.35">
      <c r="A54" s="63">
        <v>95</v>
      </c>
      <c r="B54" s="64">
        <f>B53*A54</f>
        <v>1196.8200000000002</v>
      </c>
      <c r="C54" s="2"/>
      <c r="G54" s="68">
        <f>G52/A51</f>
        <v>14.080235294117649</v>
      </c>
      <c r="H54" s="69">
        <f>G52/A54</f>
        <v>12.598105263157896</v>
      </c>
      <c r="I54" s="1"/>
      <c r="J54" s="2"/>
      <c r="K54" s="2"/>
      <c r="L54" s="2"/>
    </row>
    <row r="55" spans="1:12" ht="14.4" customHeight="1" x14ac:dyDescent="0.3">
      <c r="A55" s="2"/>
      <c r="B55" s="109"/>
      <c r="D55" s="70" t="s">
        <v>80</v>
      </c>
      <c r="E55" s="1"/>
      <c r="F55" s="71"/>
      <c r="G55" s="71"/>
      <c r="H55" s="1"/>
      <c r="I55" s="1"/>
      <c r="J55" s="2"/>
      <c r="K55" s="2"/>
      <c r="L55" s="2"/>
    </row>
    <row r="56" spans="1:12" ht="14.4" customHeight="1" x14ac:dyDescent="0.3">
      <c r="A56" s="2"/>
      <c r="B56" s="109"/>
      <c r="D56" s="72" t="s">
        <v>81</v>
      </c>
      <c r="E56" s="73">
        <f>I47/F47</f>
        <v>1196.8200000000002</v>
      </c>
      <c r="F56" s="74" t="s">
        <v>20</v>
      </c>
      <c r="G56" s="71"/>
      <c r="H56" s="1"/>
      <c r="I56" s="1"/>
      <c r="J56" s="2"/>
      <c r="K56" s="2"/>
      <c r="L56" s="2"/>
    </row>
    <row r="57" spans="1:12" x14ac:dyDescent="0.3">
      <c r="A57" s="2"/>
      <c r="B57" s="75"/>
      <c r="C57" s="2"/>
      <c r="D57" s="72" t="s">
        <v>21</v>
      </c>
      <c r="E57" s="73">
        <f>L47/F47</f>
        <v>1268.1300000000001</v>
      </c>
      <c r="F57" s="74" t="s">
        <v>20</v>
      </c>
      <c r="G57" s="71"/>
      <c r="H57" s="1"/>
      <c r="I57" s="1"/>
      <c r="J57" s="2"/>
      <c r="K57" s="2"/>
      <c r="L57" s="2"/>
    </row>
    <row r="58" spans="1:12" x14ac:dyDescent="0.3">
      <c r="A58" s="2"/>
      <c r="B58" s="2"/>
      <c r="C58" s="1"/>
      <c r="D58" s="76"/>
      <c r="E58" s="71"/>
      <c r="F58" s="71"/>
      <c r="G58" s="1"/>
      <c r="H58" s="2"/>
      <c r="I58" s="2"/>
      <c r="J58" s="2"/>
      <c r="K58" s="2"/>
      <c r="L58" s="2"/>
    </row>
    <row r="59" spans="1:12" x14ac:dyDescent="0.3">
      <c r="D59" s="77" t="s">
        <v>21</v>
      </c>
      <c r="E59" s="78"/>
      <c r="F59" s="79" t="s">
        <v>19</v>
      </c>
    </row>
    <row r="60" spans="1:12" x14ac:dyDescent="0.3">
      <c r="B60" s="122" t="s">
        <v>82</v>
      </c>
      <c r="C60" s="122"/>
      <c r="D60" s="65">
        <f>G12</f>
        <v>0</v>
      </c>
      <c r="E60" s="75"/>
      <c r="F60" s="80">
        <f>G11</f>
        <v>0</v>
      </c>
    </row>
    <row r="61" spans="1:12" x14ac:dyDescent="0.3">
      <c r="B61" s="124" t="s">
        <v>83</v>
      </c>
      <c r="C61" s="125"/>
      <c r="D61" s="65">
        <f>E57</f>
        <v>1268.1300000000001</v>
      </c>
      <c r="E61" s="75"/>
      <c r="F61" s="80">
        <f>E56</f>
        <v>1196.8200000000002</v>
      </c>
    </row>
    <row r="62" spans="1:12" x14ac:dyDescent="0.3">
      <c r="B62" s="66" t="s">
        <v>79</v>
      </c>
      <c r="C62" s="66"/>
      <c r="D62" s="67">
        <f>SUM(D60:D61)</f>
        <v>1268.1300000000001</v>
      </c>
      <c r="E62" s="78"/>
      <c r="F62" s="81">
        <f>SUM(F60:F61)</f>
        <v>1196.8200000000002</v>
      </c>
    </row>
    <row r="63" spans="1:12" x14ac:dyDescent="0.3">
      <c r="D63" s="82"/>
      <c r="E63" s="1"/>
      <c r="F63" s="71"/>
    </row>
    <row r="64" spans="1:12" x14ac:dyDescent="0.3">
      <c r="D64" s="68">
        <f>D62/A51</f>
        <v>14.919176470588237</v>
      </c>
      <c r="E64" s="1"/>
      <c r="F64" s="68">
        <f>F62/A51</f>
        <v>14.080235294117649</v>
      </c>
    </row>
    <row r="71" spans="4:4" x14ac:dyDescent="0.3">
      <c r="D71" s="43"/>
    </row>
    <row r="72" spans="4:4" x14ac:dyDescent="0.3">
      <c r="D72" s="43"/>
    </row>
    <row r="73" spans="4:4" x14ac:dyDescent="0.3">
      <c r="D73" s="43"/>
    </row>
    <row r="74" spans="4:4" x14ac:dyDescent="0.3">
      <c r="D74" s="43"/>
    </row>
    <row r="75" spans="4:4" x14ac:dyDescent="0.3">
      <c r="D75" s="43"/>
    </row>
  </sheetData>
  <mergeCells count="13">
    <mergeCell ref="B60:C60"/>
    <mergeCell ref="B61:C61"/>
    <mergeCell ref="D11:E11"/>
    <mergeCell ref="D12:E12"/>
    <mergeCell ref="C50:F50"/>
    <mergeCell ref="C51:F51"/>
    <mergeCell ref="C52:F52"/>
    <mergeCell ref="L7:L8"/>
    <mergeCell ref="A1:F1"/>
    <mergeCell ref="A2:F2"/>
    <mergeCell ref="A3:F3"/>
    <mergeCell ref="A5:F5"/>
    <mergeCell ref="J7:K7"/>
  </mergeCells>
  <pageMargins left="0.31496062992125984" right="0.31496062992125984" top="0.15748031496062992" bottom="0.35433070866141736" header="0.31496062992125984" footer="0.31496062992125984"/>
  <pageSetup paperSize="9" scale="95" orientation="landscape" verticalDpi="0" r:id="rId1"/>
  <ignoredErrors>
    <ignoredError sqref="I33 K37:L3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234C-0385-4754-ABF3-BA0AC872DFE1}">
  <dimension ref="A1:N85"/>
  <sheetViews>
    <sheetView workbookViewId="0">
      <selection sqref="A1:XFD1048576"/>
    </sheetView>
  </sheetViews>
  <sheetFormatPr defaultRowHeight="14.4" x14ac:dyDescent="0.3"/>
  <cols>
    <col min="1" max="1" width="9.88671875" bestFit="1" customWidth="1"/>
    <col min="2" max="2" width="46.44140625" bestFit="1" customWidth="1"/>
    <col min="3" max="3" width="13.109375" bestFit="1" customWidth="1"/>
    <col min="4" max="4" width="10.33203125" bestFit="1" customWidth="1"/>
    <col min="5" max="5" width="8.21875" bestFit="1" customWidth="1"/>
    <col min="6" max="6" width="8.5546875" bestFit="1" customWidth="1"/>
    <col min="7" max="7" width="9.6640625" style="43" customWidth="1"/>
    <col min="8" max="8" width="7.88671875" bestFit="1" customWidth="1"/>
    <col min="9" max="9" width="10.44140625" bestFit="1" customWidth="1"/>
    <col min="10" max="10" width="5.44140625" bestFit="1" customWidth="1"/>
    <col min="11" max="11" width="9.44140625" bestFit="1" customWidth="1"/>
    <col min="12" max="12" width="10.44140625" bestFit="1" customWidth="1"/>
    <col min="13" max="13" width="5" bestFit="1" customWidth="1"/>
    <col min="14" max="14" width="7" bestFit="1" customWidth="1"/>
  </cols>
  <sheetData>
    <row r="1" spans="1:12" x14ac:dyDescent="0.3">
      <c r="A1" s="114" t="s">
        <v>0</v>
      </c>
      <c r="B1" s="115"/>
      <c r="C1" s="115"/>
      <c r="D1" s="115"/>
      <c r="E1" s="115"/>
      <c r="F1" s="115"/>
      <c r="G1" s="1"/>
      <c r="H1" s="2"/>
      <c r="I1" s="2"/>
      <c r="J1" s="2"/>
      <c r="K1" s="2"/>
      <c r="L1" s="2"/>
    </row>
    <row r="2" spans="1:12" x14ac:dyDescent="0.3">
      <c r="A2" s="114" t="s">
        <v>1</v>
      </c>
      <c r="B2" s="115"/>
      <c r="C2" s="115"/>
      <c r="D2" s="115"/>
      <c r="E2" s="115"/>
      <c r="F2" s="115"/>
      <c r="G2" s="1"/>
      <c r="H2" s="2"/>
      <c r="I2" s="2"/>
      <c r="J2" s="2"/>
      <c r="K2" s="2"/>
      <c r="L2" s="2"/>
    </row>
    <row r="3" spans="1:12" ht="18" x14ac:dyDescent="0.35">
      <c r="A3" s="116" t="s">
        <v>181</v>
      </c>
      <c r="B3" s="116"/>
      <c r="C3" s="116"/>
      <c r="D3" s="116"/>
      <c r="E3" s="116"/>
      <c r="F3" s="116"/>
      <c r="G3" s="3"/>
      <c r="H3" s="4"/>
      <c r="I3" s="4"/>
      <c r="J3" s="4"/>
      <c r="K3" s="4"/>
      <c r="L3" s="4"/>
    </row>
    <row r="4" spans="1:12" x14ac:dyDescent="0.3">
      <c r="G4" s="1"/>
      <c r="H4" s="2"/>
      <c r="I4" s="2"/>
      <c r="J4" s="2"/>
      <c r="K4" s="2"/>
      <c r="L4" s="2"/>
    </row>
    <row r="5" spans="1:12" ht="21" x14ac:dyDescent="0.4">
      <c r="A5" s="128" t="s">
        <v>2</v>
      </c>
      <c r="B5" s="129"/>
      <c r="C5" s="129"/>
      <c r="D5" s="129"/>
      <c r="E5" s="129"/>
      <c r="F5" s="129"/>
      <c r="G5" s="1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1"/>
      <c r="H6" s="2"/>
      <c r="I6" s="2"/>
      <c r="J6" s="2"/>
      <c r="K6" s="2"/>
      <c r="L6" s="2"/>
    </row>
    <row r="7" spans="1:12" ht="24" x14ac:dyDescent="0.3">
      <c r="A7" s="5" t="s">
        <v>3</v>
      </c>
      <c r="B7" s="6" t="s">
        <v>4</v>
      </c>
      <c r="C7" s="7" t="s">
        <v>5</v>
      </c>
      <c r="D7" s="7" t="s">
        <v>6</v>
      </c>
      <c r="E7" s="7" t="s">
        <v>7</v>
      </c>
      <c r="F7" s="6" t="s">
        <v>8</v>
      </c>
      <c r="G7" s="7" t="s">
        <v>9</v>
      </c>
      <c r="H7" s="8" t="s">
        <v>10</v>
      </c>
      <c r="I7" s="7" t="s">
        <v>11</v>
      </c>
      <c r="J7" s="117" t="s">
        <v>12</v>
      </c>
      <c r="K7" s="118"/>
      <c r="L7" s="119" t="s">
        <v>13</v>
      </c>
    </row>
    <row r="8" spans="1:12" x14ac:dyDescent="0.3">
      <c r="A8" s="9" t="s">
        <v>14</v>
      </c>
      <c r="B8" s="99"/>
      <c r="C8" s="10"/>
      <c r="D8" s="10"/>
      <c r="E8" s="10"/>
      <c r="F8" s="9"/>
      <c r="G8" s="10"/>
      <c r="H8" s="10"/>
      <c r="I8" s="10"/>
      <c r="J8" s="10" t="s">
        <v>15</v>
      </c>
      <c r="K8" s="11" t="s">
        <v>11</v>
      </c>
      <c r="L8" s="119"/>
    </row>
    <row r="9" spans="1:12" x14ac:dyDescent="0.3">
      <c r="A9" s="12"/>
      <c r="B9" s="99" t="s">
        <v>172</v>
      </c>
      <c r="C9" s="10" t="s">
        <v>119</v>
      </c>
      <c r="D9" s="14" t="s">
        <v>17</v>
      </c>
      <c r="E9" s="15">
        <v>135</v>
      </c>
      <c r="F9" s="15">
        <f>E9*F11</f>
        <v>135</v>
      </c>
      <c r="G9" s="14">
        <v>9.5</v>
      </c>
      <c r="H9" s="16">
        <f>F9*G9</f>
        <v>1282.5</v>
      </c>
      <c r="I9" s="17">
        <f>F9*G9</f>
        <v>1282.5</v>
      </c>
      <c r="J9" s="18">
        <v>0.12</v>
      </c>
      <c r="K9" s="19">
        <f>I9*J9</f>
        <v>153.9</v>
      </c>
      <c r="L9" s="15">
        <f>I9+K9</f>
        <v>1436.4</v>
      </c>
    </row>
    <row r="10" spans="1:12" x14ac:dyDescent="0.3">
      <c r="A10" s="12"/>
      <c r="B10" s="99"/>
      <c r="C10" s="20"/>
      <c r="D10" s="14"/>
      <c r="E10" s="15"/>
      <c r="F10" s="15"/>
      <c r="G10" s="14"/>
      <c r="H10" s="16"/>
      <c r="I10" s="17"/>
      <c r="J10" s="18"/>
      <c r="K10" s="19"/>
      <c r="L10" s="15"/>
    </row>
    <row r="11" spans="1:12" ht="18" x14ac:dyDescent="0.3">
      <c r="A11" s="21"/>
      <c r="B11" s="13" t="s">
        <v>157</v>
      </c>
      <c r="E11" s="23"/>
      <c r="F11" s="24">
        <v>1</v>
      </c>
      <c r="G11" s="23"/>
      <c r="H11" s="25">
        <f>SUM(H9:H10)</f>
        <v>1282.5</v>
      </c>
      <c r="I11" s="26">
        <f>SUM(I9:I10)</f>
        <v>1282.5</v>
      </c>
      <c r="J11" s="27"/>
      <c r="K11" s="28">
        <f>SUM(K9:K10)</f>
        <v>153.9</v>
      </c>
      <c r="L11" s="29">
        <f>SUM(L9:L10)</f>
        <v>1436.4</v>
      </c>
    </row>
    <row r="12" spans="1:12" x14ac:dyDescent="0.3">
      <c r="A12" s="12"/>
      <c r="B12" s="12"/>
      <c r="C12" s="14"/>
      <c r="D12" s="120" t="s">
        <v>19</v>
      </c>
      <c r="E12" s="121"/>
      <c r="F12" s="35" t="s">
        <v>20</v>
      </c>
      <c r="G12" s="36">
        <f>I11/F11</f>
        <v>1282.5</v>
      </c>
      <c r="H12" s="37"/>
      <c r="I12" s="38"/>
      <c r="J12" s="39"/>
      <c r="K12" s="40"/>
      <c r="L12" s="41"/>
    </row>
    <row r="13" spans="1:12" x14ac:dyDescent="0.3">
      <c r="A13" s="12"/>
      <c r="B13" s="12"/>
      <c r="C13" s="14"/>
      <c r="D13" s="120" t="s">
        <v>21</v>
      </c>
      <c r="E13" s="121"/>
      <c r="F13" s="35" t="s">
        <v>20</v>
      </c>
      <c r="G13" s="36">
        <f>L11/F11</f>
        <v>1436.4</v>
      </c>
      <c r="H13" s="37"/>
      <c r="I13" s="38"/>
      <c r="J13" s="39"/>
      <c r="K13" s="40"/>
      <c r="L13" s="41"/>
    </row>
    <row r="14" spans="1:12" x14ac:dyDescent="0.3">
      <c r="A14" s="9" t="s">
        <v>22</v>
      </c>
      <c r="B14" s="42"/>
      <c r="C14" s="14"/>
      <c r="D14" s="14"/>
      <c r="E14" s="14"/>
      <c r="F14" s="41"/>
      <c r="G14" s="14"/>
      <c r="H14" s="37"/>
      <c r="I14" s="38"/>
      <c r="J14" s="39"/>
      <c r="K14" s="40"/>
      <c r="L14" s="41"/>
    </row>
    <row r="15" spans="1:12" x14ac:dyDescent="0.3">
      <c r="A15" s="9"/>
      <c r="B15" s="42" t="s">
        <v>158</v>
      </c>
      <c r="C15" s="14" t="s">
        <v>159</v>
      </c>
      <c r="D15" s="14" t="s">
        <v>24</v>
      </c>
      <c r="E15" s="14">
        <v>0.5</v>
      </c>
      <c r="F15" s="41">
        <f>E15*F11</f>
        <v>0.5</v>
      </c>
      <c r="G15" s="14">
        <v>100</v>
      </c>
      <c r="H15" s="37">
        <f>E15*G15</f>
        <v>50</v>
      </c>
      <c r="I15" s="38">
        <f>F15*G15</f>
        <v>50</v>
      </c>
      <c r="J15" s="39">
        <v>0.12</v>
      </c>
      <c r="K15" s="40">
        <f>I15*J15</f>
        <v>6</v>
      </c>
      <c r="L15" s="41">
        <f>I15+K15</f>
        <v>56</v>
      </c>
    </row>
    <row r="16" spans="1:12" x14ac:dyDescent="0.3">
      <c r="A16" s="9"/>
      <c r="B16" s="42" t="s">
        <v>171</v>
      </c>
      <c r="C16" s="14" t="s">
        <v>164</v>
      </c>
      <c r="D16" s="14" t="s">
        <v>43</v>
      </c>
      <c r="E16" s="14">
        <v>1</v>
      </c>
      <c r="F16" s="41">
        <f>E16*F11</f>
        <v>1</v>
      </c>
      <c r="G16" s="14">
        <v>1000</v>
      </c>
      <c r="H16" s="37">
        <f>E16*G16</f>
        <v>1000</v>
      </c>
      <c r="I16" s="38">
        <f>F16*G16</f>
        <v>1000</v>
      </c>
      <c r="J16" s="39">
        <v>0.12</v>
      </c>
      <c r="K16" s="40">
        <f>I16*J16</f>
        <v>120</v>
      </c>
      <c r="L16" s="41">
        <f>I16+K16</f>
        <v>1120</v>
      </c>
    </row>
    <row r="17" spans="1:14" x14ac:dyDescent="0.3">
      <c r="A17" s="9"/>
      <c r="B17" s="42"/>
      <c r="C17" s="14"/>
      <c r="D17" s="14"/>
      <c r="E17" s="14"/>
      <c r="F17" s="41"/>
      <c r="G17" s="14"/>
      <c r="H17" s="37"/>
      <c r="I17" s="38"/>
      <c r="J17" s="39"/>
      <c r="K17" s="40"/>
      <c r="L17" s="41"/>
    </row>
    <row r="18" spans="1:14" x14ac:dyDescent="0.3">
      <c r="A18" s="9"/>
      <c r="B18" s="42"/>
      <c r="C18" s="14"/>
      <c r="D18" s="14"/>
      <c r="E18" s="14"/>
      <c r="F18" s="41"/>
      <c r="G18" s="14"/>
      <c r="H18" s="37"/>
      <c r="I18" s="38"/>
      <c r="J18" s="39"/>
      <c r="K18" s="40"/>
      <c r="L18" s="41"/>
    </row>
    <row r="19" spans="1:14" x14ac:dyDescent="0.3">
      <c r="A19" s="9" t="s">
        <v>26</v>
      </c>
      <c r="B19" s="12" t="s">
        <v>27</v>
      </c>
      <c r="C19" s="14" t="str">
        <f>C9</f>
        <v>CHOCOLATE</v>
      </c>
      <c r="D19" s="14" t="s">
        <v>28</v>
      </c>
      <c r="E19" s="14">
        <v>100</v>
      </c>
      <c r="F19" s="41">
        <f>E19*F11</f>
        <v>100</v>
      </c>
      <c r="G19" s="14">
        <v>125</v>
      </c>
      <c r="H19" s="37">
        <f>F19/1000*G19/F11</f>
        <v>12.5</v>
      </c>
      <c r="I19" s="38">
        <f>F19/1000*G19</f>
        <v>12.5</v>
      </c>
      <c r="J19" s="39">
        <v>0.12</v>
      </c>
      <c r="K19" s="40">
        <f>I19*J19</f>
        <v>1.5</v>
      </c>
      <c r="L19" s="41">
        <f>I19+K19</f>
        <v>14</v>
      </c>
    </row>
    <row r="20" spans="1:14" x14ac:dyDescent="0.3">
      <c r="A20" s="9"/>
      <c r="B20" s="12" t="s">
        <v>29</v>
      </c>
      <c r="C20" s="14" t="str">
        <f>C9</f>
        <v>CHOCOLATE</v>
      </c>
      <c r="D20" s="14" t="s">
        <v>28</v>
      </c>
      <c r="E20" s="14">
        <v>100</v>
      </c>
      <c r="F20" s="41">
        <f>E20*F11</f>
        <v>100</v>
      </c>
      <c r="G20" s="14">
        <v>257</v>
      </c>
      <c r="H20" s="37">
        <f>F20/5000*G20/F11</f>
        <v>5.14</v>
      </c>
      <c r="I20" s="38">
        <f>H20*F11</f>
        <v>5.14</v>
      </c>
      <c r="J20" s="39">
        <v>0.12</v>
      </c>
      <c r="K20" s="40">
        <f>I20*J20</f>
        <v>0.6167999999999999</v>
      </c>
      <c r="L20" s="41">
        <f>I20+K20</f>
        <v>5.7567999999999993</v>
      </c>
    </row>
    <row r="21" spans="1:14" x14ac:dyDescent="0.3">
      <c r="A21" s="9"/>
      <c r="B21" s="12" t="s">
        <v>30</v>
      </c>
      <c r="C21" s="14" t="str">
        <f>C9</f>
        <v>CHOCOLATE</v>
      </c>
      <c r="D21" s="14" t="s">
        <v>28</v>
      </c>
      <c r="E21" s="14">
        <v>50</v>
      </c>
      <c r="F21" s="41">
        <f>E21*F11</f>
        <v>50</v>
      </c>
      <c r="G21" s="14">
        <v>162</v>
      </c>
      <c r="H21" s="37">
        <f>F21/1000*G21/F11</f>
        <v>8.1</v>
      </c>
      <c r="I21" s="38">
        <f>F21/1000*G21</f>
        <v>8.1</v>
      </c>
      <c r="J21" s="39">
        <v>0.12</v>
      </c>
      <c r="K21" s="40">
        <f>I21*J21</f>
        <v>0.97199999999999998</v>
      </c>
      <c r="L21" s="41">
        <f>I21+K21</f>
        <v>9.0719999999999992</v>
      </c>
    </row>
    <row r="22" spans="1:14" x14ac:dyDescent="0.3">
      <c r="A22" s="9"/>
      <c r="B22" s="12"/>
      <c r="C22" s="14"/>
      <c r="D22" s="14"/>
      <c r="E22" s="14"/>
      <c r="F22" s="41"/>
      <c r="G22" s="14"/>
      <c r="H22" s="37"/>
      <c r="I22" s="38"/>
      <c r="J22" s="39"/>
      <c r="K22" s="40"/>
      <c r="L22" s="41"/>
    </row>
    <row r="23" spans="1:14" x14ac:dyDescent="0.3">
      <c r="A23" s="9" t="s">
        <v>31</v>
      </c>
      <c r="B23" s="12" t="s">
        <v>32</v>
      </c>
      <c r="C23" s="14" t="s">
        <v>33</v>
      </c>
      <c r="D23" s="14" t="s">
        <v>34</v>
      </c>
      <c r="E23" s="14">
        <v>1</v>
      </c>
      <c r="F23" s="41">
        <f>E23*F11</f>
        <v>1</v>
      </c>
      <c r="G23" s="14">
        <v>16</v>
      </c>
      <c r="H23" s="37">
        <f>E23*G23</f>
        <v>16</v>
      </c>
      <c r="I23" s="38">
        <f>F23*G23</f>
        <v>16</v>
      </c>
      <c r="J23" s="39">
        <v>0.18</v>
      </c>
      <c r="K23" s="40">
        <f>I23*J23</f>
        <v>2.88</v>
      </c>
      <c r="L23" s="41">
        <f>I23+K23</f>
        <v>18.88</v>
      </c>
    </row>
    <row r="24" spans="1:14" x14ac:dyDescent="0.3">
      <c r="A24" s="9"/>
      <c r="B24" s="12" t="s">
        <v>35</v>
      </c>
      <c r="C24" s="14" t="s">
        <v>36</v>
      </c>
      <c r="D24" s="14" t="s">
        <v>37</v>
      </c>
      <c r="E24" s="14">
        <v>0.15</v>
      </c>
      <c r="F24" s="41">
        <f>E24*F11</f>
        <v>0.15</v>
      </c>
      <c r="G24" s="14">
        <v>88</v>
      </c>
      <c r="H24" s="37">
        <f>E24*G24</f>
        <v>13.2</v>
      </c>
      <c r="I24" s="38">
        <f>F24*G24</f>
        <v>13.2</v>
      </c>
      <c r="J24" s="39">
        <v>0.18</v>
      </c>
      <c r="K24" s="40">
        <f>I24*J24</f>
        <v>2.3759999999999999</v>
      </c>
      <c r="L24" s="41">
        <f>I24+K24</f>
        <v>15.575999999999999</v>
      </c>
    </row>
    <row r="25" spans="1:14" x14ac:dyDescent="0.3">
      <c r="A25" s="9"/>
      <c r="B25" s="12" t="s">
        <v>38</v>
      </c>
      <c r="C25" s="14" t="s">
        <v>39</v>
      </c>
      <c r="D25" s="14" t="s">
        <v>34</v>
      </c>
      <c r="E25" s="14">
        <v>3.75</v>
      </c>
      <c r="F25" s="41">
        <f>E25*F11</f>
        <v>3.75</v>
      </c>
      <c r="G25" s="14">
        <v>0.6875</v>
      </c>
      <c r="H25" s="37">
        <f>E25*G25</f>
        <v>2.578125</v>
      </c>
      <c r="I25" s="38">
        <f>F25*G25</f>
        <v>2.578125</v>
      </c>
      <c r="J25" s="39">
        <v>0.18</v>
      </c>
      <c r="K25" s="40">
        <f>I25*J25</f>
        <v>0.46406249999999999</v>
      </c>
      <c r="L25" s="41">
        <f>I25+K25</f>
        <v>3.0421874999999998</v>
      </c>
    </row>
    <row r="26" spans="1:14" x14ac:dyDescent="0.3">
      <c r="A26" s="9"/>
      <c r="B26" s="12"/>
      <c r="C26" s="14"/>
      <c r="D26" s="14"/>
      <c r="E26" s="14"/>
      <c r="F26" s="41"/>
      <c r="G26" s="14"/>
      <c r="H26" s="37"/>
      <c r="I26" s="38"/>
      <c r="J26" s="39"/>
      <c r="K26" s="40"/>
      <c r="L26" s="41"/>
    </row>
    <row r="27" spans="1:14" x14ac:dyDescent="0.3">
      <c r="A27" s="9"/>
      <c r="B27" s="12" t="s">
        <v>197</v>
      </c>
      <c r="C27" s="14" t="str">
        <f>C9</f>
        <v>CHOCOLATE</v>
      </c>
      <c r="D27" s="14" t="s">
        <v>43</v>
      </c>
      <c r="E27" s="14">
        <v>1</v>
      </c>
      <c r="F27" s="41">
        <f>E27*F11</f>
        <v>1</v>
      </c>
      <c r="G27" s="14">
        <v>165</v>
      </c>
      <c r="H27" s="37">
        <f t="shared" ref="H27:H32" si="0">E27*G27</f>
        <v>165</v>
      </c>
      <c r="I27" s="38">
        <f t="shared" ref="I27:I32" si="1">F27*G27</f>
        <v>165</v>
      </c>
      <c r="J27" s="39">
        <v>0.18</v>
      </c>
      <c r="K27" s="40">
        <f t="shared" ref="K27:K32" si="2">I27*J27</f>
        <v>29.7</v>
      </c>
      <c r="L27" s="41">
        <f t="shared" ref="L27:L32" si="3">I27+K27</f>
        <v>194.7</v>
      </c>
      <c r="M27">
        <v>1.9</v>
      </c>
      <c r="N27">
        <f>M27*85</f>
        <v>161.5</v>
      </c>
    </row>
    <row r="28" spans="1:14" x14ac:dyDescent="0.3">
      <c r="A28" s="9"/>
      <c r="B28" s="12" t="s">
        <v>173</v>
      </c>
      <c r="C28" s="14" t="str">
        <f>C9</f>
        <v>CHOCOLATE</v>
      </c>
      <c r="D28" s="14" t="s">
        <v>43</v>
      </c>
      <c r="E28" s="14">
        <v>2</v>
      </c>
      <c r="F28" s="41">
        <f>E28*F11</f>
        <v>2</v>
      </c>
      <c r="G28" s="14">
        <v>60</v>
      </c>
      <c r="H28" s="37">
        <f t="shared" ref="H28" si="4">E28*G28</f>
        <v>120</v>
      </c>
      <c r="I28" s="38">
        <f t="shared" ref="I28" si="5">F28*G28</f>
        <v>120</v>
      </c>
      <c r="J28" s="39">
        <v>0.18</v>
      </c>
      <c r="K28" s="40">
        <f t="shared" ref="K28" si="6">I28*J28</f>
        <v>21.599999999999998</v>
      </c>
      <c r="L28" s="41">
        <f t="shared" ref="L28" si="7">I28+K28</f>
        <v>141.6</v>
      </c>
      <c r="M28">
        <v>0.62</v>
      </c>
      <c r="N28">
        <f>M28*85</f>
        <v>52.7</v>
      </c>
    </row>
    <row r="29" spans="1:14" x14ac:dyDescent="0.3">
      <c r="A29" s="9"/>
      <c r="B29" s="12" t="s">
        <v>160</v>
      </c>
      <c r="C29" s="14" t="str">
        <f>C9</f>
        <v>CHOCOLATE</v>
      </c>
      <c r="D29" s="14" t="s">
        <v>43</v>
      </c>
      <c r="E29" s="14">
        <v>1</v>
      </c>
      <c r="F29" s="41">
        <f>E29*F11</f>
        <v>1</v>
      </c>
      <c r="G29" s="14">
        <v>15</v>
      </c>
      <c r="H29" s="37">
        <f t="shared" si="0"/>
        <v>15</v>
      </c>
      <c r="I29" s="38">
        <f t="shared" si="1"/>
        <v>15</v>
      </c>
      <c r="J29" s="39">
        <v>0.18</v>
      </c>
      <c r="K29" s="40">
        <f t="shared" si="2"/>
        <v>2.6999999999999997</v>
      </c>
      <c r="L29" s="41">
        <f t="shared" si="3"/>
        <v>17.7</v>
      </c>
    </row>
    <row r="30" spans="1:14" x14ac:dyDescent="0.3">
      <c r="A30" s="12"/>
      <c r="B30" s="12" t="s">
        <v>161</v>
      </c>
      <c r="C30" s="14" t="s">
        <v>162</v>
      </c>
      <c r="D30" s="14" t="s">
        <v>43</v>
      </c>
      <c r="E30" s="14">
        <v>8</v>
      </c>
      <c r="F30" s="41">
        <f>E30*F11</f>
        <v>8</v>
      </c>
      <c r="G30" s="14">
        <v>0</v>
      </c>
      <c r="H30" s="37">
        <f t="shared" si="0"/>
        <v>0</v>
      </c>
      <c r="I30" s="38">
        <f t="shared" si="1"/>
        <v>0</v>
      </c>
      <c r="J30" s="39">
        <v>0.18</v>
      </c>
      <c r="K30" s="40">
        <f t="shared" si="2"/>
        <v>0</v>
      </c>
      <c r="L30" s="41">
        <f t="shared" si="3"/>
        <v>0</v>
      </c>
    </row>
    <row r="31" spans="1:14" x14ac:dyDescent="0.3">
      <c r="A31" s="12"/>
      <c r="B31" s="12" t="s">
        <v>163</v>
      </c>
      <c r="C31" s="14" t="s">
        <v>164</v>
      </c>
      <c r="D31" s="14" t="s">
        <v>34</v>
      </c>
      <c r="E31" s="14">
        <v>2</v>
      </c>
      <c r="F31" s="41">
        <f>E31*F11</f>
        <v>2</v>
      </c>
      <c r="G31" s="14">
        <v>35</v>
      </c>
      <c r="H31" s="37">
        <f t="shared" si="0"/>
        <v>70</v>
      </c>
      <c r="I31" s="38">
        <f t="shared" si="1"/>
        <v>70</v>
      </c>
      <c r="J31" s="39">
        <v>0.18</v>
      </c>
      <c r="K31" s="40">
        <f t="shared" si="2"/>
        <v>12.6</v>
      </c>
      <c r="L31" s="41">
        <f t="shared" si="3"/>
        <v>82.6</v>
      </c>
    </row>
    <row r="32" spans="1:14" x14ac:dyDescent="0.3">
      <c r="A32" s="12"/>
      <c r="B32" s="12" t="s">
        <v>165</v>
      </c>
      <c r="C32" s="14" t="s">
        <v>164</v>
      </c>
      <c r="D32" s="14" t="s">
        <v>166</v>
      </c>
      <c r="E32" s="14">
        <v>0</v>
      </c>
      <c r="F32" s="41">
        <f>E32*F11</f>
        <v>0</v>
      </c>
      <c r="G32" s="14">
        <v>3</v>
      </c>
      <c r="H32" s="37">
        <f t="shared" si="0"/>
        <v>0</v>
      </c>
      <c r="I32" s="38">
        <f t="shared" si="1"/>
        <v>0</v>
      </c>
      <c r="J32" s="39">
        <v>0.18</v>
      </c>
      <c r="K32" s="40">
        <f t="shared" si="2"/>
        <v>0</v>
      </c>
      <c r="L32" s="41">
        <f t="shared" si="3"/>
        <v>0</v>
      </c>
    </row>
    <row r="33" spans="1:12" x14ac:dyDescent="0.3">
      <c r="A33" s="12"/>
      <c r="B33" s="12"/>
      <c r="C33" s="14"/>
      <c r="D33" s="14"/>
      <c r="E33" s="14"/>
      <c r="F33" s="12"/>
      <c r="G33" s="14"/>
      <c r="H33" s="37"/>
      <c r="I33" s="38"/>
      <c r="J33" s="39"/>
      <c r="K33" s="40"/>
      <c r="L33" s="41"/>
    </row>
    <row r="34" spans="1:12" x14ac:dyDescent="0.3">
      <c r="A34" s="12" t="s">
        <v>47</v>
      </c>
      <c r="B34" s="12" t="s">
        <v>167</v>
      </c>
      <c r="C34" s="14" t="s">
        <v>36</v>
      </c>
      <c r="D34" s="14" t="s">
        <v>43</v>
      </c>
      <c r="E34" s="14">
        <v>1</v>
      </c>
      <c r="F34" s="41">
        <f>E34*F11</f>
        <v>1</v>
      </c>
      <c r="G34" s="14">
        <v>12</v>
      </c>
      <c r="H34" s="37">
        <f>E34*G34</f>
        <v>12</v>
      </c>
      <c r="I34" s="38">
        <f>F34*G34</f>
        <v>12</v>
      </c>
      <c r="J34" s="39">
        <v>0.12</v>
      </c>
      <c r="K34" s="40">
        <f>I34*J34</f>
        <v>1.44</v>
      </c>
      <c r="L34" s="41">
        <f>I34+K34</f>
        <v>13.44</v>
      </c>
    </row>
    <row r="35" spans="1:12" x14ac:dyDescent="0.3">
      <c r="A35" s="12"/>
      <c r="B35" s="12" t="s">
        <v>168</v>
      </c>
      <c r="C35" s="14" t="s">
        <v>36</v>
      </c>
      <c r="D35" s="14" t="s">
        <v>43</v>
      </c>
      <c r="E35" s="14">
        <v>1</v>
      </c>
      <c r="F35" s="41">
        <f>E35*F11</f>
        <v>1</v>
      </c>
      <c r="G35" s="14">
        <v>7</v>
      </c>
      <c r="H35" s="37">
        <f>E35*G35</f>
        <v>7</v>
      </c>
      <c r="I35" s="38">
        <f>F35*G35</f>
        <v>7</v>
      </c>
      <c r="J35" s="39">
        <v>0.12</v>
      </c>
      <c r="K35" s="40">
        <f>I35*J35</f>
        <v>0.84</v>
      </c>
      <c r="L35" s="41">
        <f>I35+K35</f>
        <v>7.84</v>
      </c>
    </row>
    <row r="36" spans="1:12" x14ac:dyDescent="0.3">
      <c r="A36" s="12"/>
      <c r="B36" s="12" t="s">
        <v>169</v>
      </c>
      <c r="C36" s="14" t="s">
        <v>36</v>
      </c>
      <c r="D36" s="14" t="s">
        <v>43</v>
      </c>
      <c r="E36" s="14">
        <v>1</v>
      </c>
      <c r="F36" s="41">
        <f>E36*F11</f>
        <v>1</v>
      </c>
      <c r="G36" s="14">
        <v>4</v>
      </c>
      <c r="H36" s="37">
        <f>E36*G36</f>
        <v>4</v>
      </c>
      <c r="I36" s="38">
        <f>F36*G36</f>
        <v>4</v>
      </c>
      <c r="J36" s="39">
        <v>0.12</v>
      </c>
      <c r="K36" s="40">
        <f>I36*J36</f>
        <v>0.48</v>
      </c>
      <c r="L36" s="41">
        <f>I36+K36</f>
        <v>4.4800000000000004</v>
      </c>
    </row>
    <row r="37" spans="1:12" x14ac:dyDescent="0.3">
      <c r="A37" s="12"/>
      <c r="B37" s="12" t="s">
        <v>49</v>
      </c>
      <c r="C37" s="14" t="s">
        <v>36</v>
      </c>
      <c r="D37" s="14" t="s">
        <v>43</v>
      </c>
      <c r="E37" s="14">
        <v>1</v>
      </c>
      <c r="F37" s="41">
        <f>E37*F11</f>
        <v>1</v>
      </c>
      <c r="G37" s="14">
        <v>3.5</v>
      </c>
      <c r="H37" s="37">
        <f>E37*G37</f>
        <v>3.5</v>
      </c>
      <c r="I37" s="38">
        <f>F37*G37</f>
        <v>3.5</v>
      </c>
      <c r="J37" s="39">
        <v>0.12</v>
      </c>
      <c r="K37" s="40">
        <f>I37*J37</f>
        <v>0.42</v>
      </c>
      <c r="L37" s="41">
        <f>I37+K37</f>
        <v>3.92</v>
      </c>
    </row>
    <row r="38" spans="1:12" x14ac:dyDescent="0.3">
      <c r="A38" s="9"/>
      <c r="B38" s="12" t="s">
        <v>50</v>
      </c>
      <c r="C38" s="14" t="s">
        <v>36</v>
      </c>
      <c r="D38" s="14" t="s">
        <v>43</v>
      </c>
      <c r="E38" s="14">
        <v>1</v>
      </c>
      <c r="F38" s="41">
        <f>E38*F11</f>
        <v>1</v>
      </c>
      <c r="G38" s="14">
        <v>4</v>
      </c>
      <c r="H38" s="37">
        <v>4</v>
      </c>
      <c r="I38" s="38">
        <f>F38*G38</f>
        <v>4</v>
      </c>
      <c r="J38" s="39">
        <v>0.12</v>
      </c>
      <c r="K38" s="40">
        <f>I38*J38</f>
        <v>0.48</v>
      </c>
      <c r="L38" s="41">
        <f>I38+K38</f>
        <v>4.4800000000000004</v>
      </c>
    </row>
    <row r="39" spans="1:12" x14ac:dyDescent="0.3">
      <c r="A39" s="9"/>
      <c r="B39" s="12"/>
      <c r="C39" s="14"/>
      <c r="D39" s="14"/>
      <c r="E39" s="14"/>
      <c r="F39" s="41"/>
      <c r="G39" s="14"/>
      <c r="H39" s="12"/>
      <c r="I39" s="41"/>
      <c r="J39" s="39"/>
      <c r="K39" s="41"/>
      <c r="L39" s="41"/>
    </row>
    <row r="40" spans="1:12" ht="21.6" x14ac:dyDescent="0.3">
      <c r="A40" s="100" t="s">
        <v>51</v>
      </c>
      <c r="B40" s="21" t="s">
        <v>52</v>
      </c>
      <c r="C40" s="23" t="s">
        <v>36</v>
      </c>
      <c r="D40" s="23" t="s">
        <v>43</v>
      </c>
      <c r="E40" s="23">
        <v>1</v>
      </c>
      <c r="F40" s="45">
        <f>F11*E40</f>
        <v>1</v>
      </c>
      <c r="G40" s="23">
        <v>12</v>
      </c>
      <c r="H40" s="46">
        <f t="shared" ref="H40:H45" si="8">E40*G40</f>
        <v>12</v>
      </c>
      <c r="I40" s="47">
        <f t="shared" ref="I40:I44" si="9">F40*G40</f>
        <v>12</v>
      </c>
      <c r="J40" s="48">
        <v>0.18</v>
      </c>
      <c r="K40" s="49">
        <f t="shared" ref="K40:K45" si="10">I40*J40</f>
        <v>2.16</v>
      </c>
      <c r="L40" s="45">
        <f t="shared" ref="L40:L46" si="11">I40+K40</f>
        <v>14.16</v>
      </c>
    </row>
    <row r="41" spans="1:12" x14ac:dyDescent="0.3">
      <c r="A41" s="12"/>
      <c r="B41" s="12" t="s">
        <v>53</v>
      </c>
      <c r="C41" s="14" t="s">
        <v>36</v>
      </c>
      <c r="D41" s="14" t="s">
        <v>43</v>
      </c>
      <c r="E41" s="14">
        <v>1</v>
      </c>
      <c r="F41" s="41">
        <f>E41*F11</f>
        <v>1</v>
      </c>
      <c r="G41" s="14">
        <v>5</v>
      </c>
      <c r="H41" s="37">
        <f t="shared" si="8"/>
        <v>5</v>
      </c>
      <c r="I41" s="38">
        <f t="shared" si="9"/>
        <v>5</v>
      </c>
      <c r="J41" s="39">
        <v>0.18</v>
      </c>
      <c r="K41" s="40">
        <f t="shared" si="10"/>
        <v>0.89999999999999991</v>
      </c>
      <c r="L41" s="41">
        <f t="shared" si="11"/>
        <v>5.9</v>
      </c>
    </row>
    <row r="42" spans="1:12" x14ac:dyDescent="0.3">
      <c r="A42" s="12"/>
      <c r="B42" s="12" t="s">
        <v>54</v>
      </c>
      <c r="C42" s="14" t="s">
        <v>36</v>
      </c>
      <c r="D42" s="14" t="s">
        <v>55</v>
      </c>
      <c r="E42" s="14">
        <v>1</v>
      </c>
      <c r="F42" s="41">
        <f>E42*F11</f>
        <v>1</v>
      </c>
      <c r="G42" s="14">
        <v>12</v>
      </c>
      <c r="H42" s="37">
        <f t="shared" si="8"/>
        <v>12</v>
      </c>
      <c r="I42" s="38">
        <f t="shared" si="9"/>
        <v>12</v>
      </c>
      <c r="J42" s="39">
        <v>0.18</v>
      </c>
      <c r="K42" s="40">
        <f t="shared" si="10"/>
        <v>2.16</v>
      </c>
      <c r="L42" s="41">
        <f t="shared" si="11"/>
        <v>14.16</v>
      </c>
    </row>
    <row r="43" spans="1:12" x14ac:dyDescent="0.3">
      <c r="A43" s="12"/>
      <c r="B43" s="12" t="s">
        <v>56</v>
      </c>
      <c r="C43" s="14" t="s">
        <v>36</v>
      </c>
      <c r="D43" s="14" t="s">
        <v>55</v>
      </c>
      <c r="E43" s="14">
        <v>0.2</v>
      </c>
      <c r="F43" s="41">
        <f>E43*F11</f>
        <v>0.2</v>
      </c>
      <c r="G43" s="14">
        <v>115</v>
      </c>
      <c r="H43" s="37">
        <v>15</v>
      </c>
      <c r="I43" s="38">
        <f>H43*F11</f>
        <v>15</v>
      </c>
      <c r="J43" s="39">
        <v>0.18</v>
      </c>
      <c r="K43" s="40">
        <f t="shared" si="10"/>
        <v>2.6999999999999997</v>
      </c>
      <c r="L43" s="41">
        <f t="shared" si="11"/>
        <v>17.7</v>
      </c>
    </row>
    <row r="44" spans="1:12" x14ac:dyDescent="0.3">
      <c r="A44" s="12"/>
      <c r="B44" s="12" t="s">
        <v>57</v>
      </c>
      <c r="C44" s="14" t="s">
        <v>36</v>
      </c>
      <c r="D44" s="14" t="s">
        <v>58</v>
      </c>
      <c r="E44" s="14">
        <v>2</v>
      </c>
      <c r="F44" s="41">
        <f>E44*F11</f>
        <v>2</v>
      </c>
      <c r="G44" s="14">
        <v>1.35</v>
      </c>
      <c r="H44" s="37">
        <f t="shared" si="8"/>
        <v>2.7</v>
      </c>
      <c r="I44" s="38">
        <f t="shared" si="9"/>
        <v>2.7</v>
      </c>
      <c r="J44" s="39">
        <v>0.18</v>
      </c>
      <c r="K44" s="40">
        <f t="shared" si="10"/>
        <v>0.48599999999999999</v>
      </c>
      <c r="L44" s="41">
        <f t="shared" si="11"/>
        <v>3.1859999999999999</v>
      </c>
    </row>
    <row r="45" spans="1:12" x14ac:dyDescent="0.3">
      <c r="A45" s="12"/>
      <c r="B45" s="12" t="s">
        <v>59</v>
      </c>
      <c r="C45" s="14" t="s">
        <v>36</v>
      </c>
      <c r="D45" s="14" t="s">
        <v>43</v>
      </c>
      <c r="E45" s="14">
        <v>7.0000000000000007E-2</v>
      </c>
      <c r="F45" s="41">
        <f>E45*F11</f>
        <v>7.0000000000000007E-2</v>
      </c>
      <c r="G45" s="14">
        <v>168</v>
      </c>
      <c r="H45" s="37">
        <f t="shared" si="8"/>
        <v>11.760000000000002</v>
      </c>
      <c r="I45" s="38">
        <f>F45*G45</f>
        <v>11.760000000000002</v>
      </c>
      <c r="J45" s="39">
        <v>0.18</v>
      </c>
      <c r="K45" s="40">
        <f t="shared" si="10"/>
        <v>2.1168</v>
      </c>
      <c r="L45" s="41">
        <f t="shared" si="11"/>
        <v>13.876800000000001</v>
      </c>
    </row>
    <row r="46" spans="1:12" x14ac:dyDescent="0.3">
      <c r="A46" s="12"/>
      <c r="B46" s="12" t="s">
        <v>60</v>
      </c>
      <c r="C46" s="14" t="s">
        <v>61</v>
      </c>
      <c r="D46" s="14" t="s">
        <v>62</v>
      </c>
      <c r="E46" s="14">
        <f>0.1</f>
        <v>0.1</v>
      </c>
      <c r="F46" s="41">
        <f>E46*F11</f>
        <v>0.1</v>
      </c>
      <c r="G46" s="14">
        <v>54</v>
      </c>
      <c r="H46" s="37">
        <f>E46*G46</f>
        <v>5.4</v>
      </c>
      <c r="I46" s="38">
        <f>F46*G46</f>
        <v>5.4</v>
      </c>
      <c r="J46" s="39">
        <v>0.18</v>
      </c>
      <c r="K46" s="40">
        <f>I46*J46</f>
        <v>0.97199999999999998</v>
      </c>
      <c r="L46" s="41">
        <f t="shared" si="11"/>
        <v>6.3719999999999999</v>
      </c>
    </row>
    <row r="47" spans="1:12" x14ac:dyDescent="0.3">
      <c r="A47" s="12"/>
      <c r="B47" s="12"/>
      <c r="C47" s="14"/>
      <c r="D47" s="14"/>
      <c r="E47" s="14"/>
      <c r="F47" s="41"/>
      <c r="G47" s="14"/>
      <c r="H47" s="50">
        <f>SUM(H14:H46)</f>
        <v>1571.8781250000002</v>
      </c>
      <c r="I47" s="50">
        <f>SUM(I14:I46)</f>
        <v>1571.8781250000002</v>
      </c>
      <c r="J47" s="51"/>
      <c r="K47" s="52">
        <f>SUM(K14:K46)</f>
        <v>216.56366249999996</v>
      </c>
      <c r="L47" s="53">
        <f>SUM(L14:L46)</f>
        <v>1788.4417875000004</v>
      </c>
    </row>
    <row r="48" spans="1:12" x14ac:dyDescent="0.3">
      <c r="A48" s="12" t="s">
        <v>63</v>
      </c>
      <c r="B48" s="12" t="s">
        <v>64</v>
      </c>
      <c r="C48" s="15"/>
      <c r="D48" s="14" t="s">
        <v>43</v>
      </c>
      <c r="E48" s="14">
        <f>C48*1%</f>
        <v>0</v>
      </c>
      <c r="F48" s="41">
        <f>F11</f>
        <v>1</v>
      </c>
      <c r="G48" s="14">
        <f>E48</f>
        <v>0</v>
      </c>
      <c r="H48" s="38">
        <f>G48</f>
        <v>0</v>
      </c>
      <c r="I48" s="38">
        <f>H48*F48</f>
        <v>0</v>
      </c>
      <c r="J48" s="39">
        <v>0.18</v>
      </c>
      <c r="K48" s="40">
        <f t="shared" ref="K48:K56" si="12">I48*J48</f>
        <v>0</v>
      </c>
      <c r="L48" s="41">
        <f t="shared" ref="L48:L56" si="13">I48+K48</f>
        <v>0</v>
      </c>
    </row>
    <row r="49" spans="1:12" x14ac:dyDescent="0.3">
      <c r="A49" s="12"/>
      <c r="B49" s="12" t="s">
        <v>65</v>
      </c>
      <c r="C49" s="15"/>
      <c r="D49" s="14" t="s">
        <v>43</v>
      </c>
      <c r="E49" s="14">
        <f>C49*1%</f>
        <v>0</v>
      </c>
      <c r="F49" s="41">
        <f>F11</f>
        <v>1</v>
      </c>
      <c r="G49" s="14">
        <f>E49</f>
        <v>0</v>
      </c>
      <c r="H49" s="38">
        <f>G49</f>
        <v>0</v>
      </c>
      <c r="I49" s="38">
        <f>H49*F49</f>
        <v>0</v>
      </c>
      <c r="J49" s="39">
        <v>0.18</v>
      </c>
      <c r="K49" s="40">
        <f t="shared" si="12"/>
        <v>0</v>
      </c>
      <c r="L49" s="41">
        <f t="shared" si="13"/>
        <v>0</v>
      </c>
    </row>
    <row r="50" spans="1:12" x14ac:dyDescent="0.3">
      <c r="A50" s="12"/>
      <c r="B50" s="12" t="s">
        <v>66</v>
      </c>
      <c r="C50" s="15"/>
      <c r="D50" s="14" t="s">
        <v>43</v>
      </c>
      <c r="E50" s="14">
        <f>C50*5%</f>
        <v>0</v>
      </c>
      <c r="F50" s="41">
        <f>F11</f>
        <v>1</v>
      </c>
      <c r="G50" s="14">
        <f t="shared" ref="G50:G55" si="14">E50</f>
        <v>0</v>
      </c>
      <c r="H50" s="38">
        <f t="shared" ref="H50:H55" si="15">G50</f>
        <v>0</v>
      </c>
      <c r="I50" s="38">
        <f>H50*F50</f>
        <v>0</v>
      </c>
      <c r="J50" s="39"/>
      <c r="K50" s="40">
        <f t="shared" si="12"/>
        <v>0</v>
      </c>
      <c r="L50" s="41">
        <f t="shared" si="13"/>
        <v>0</v>
      </c>
    </row>
    <row r="51" spans="1:12" x14ac:dyDescent="0.3">
      <c r="A51" s="12"/>
      <c r="B51" s="12" t="s">
        <v>67</v>
      </c>
      <c r="C51" s="15"/>
      <c r="D51" s="14" t="s">
        <v>43</v>
      </c>
      <c r="E51" s="14">
        <f>C51*7%</f>
        <v>0</v>
      </c>
      <c r="F51" s="41">
        <f>F11</f>
        <v>1</v>
      </c>
      <c r="G51" s="14">
        <f t="shared" si="14"/>
        <v>0</v>
      </c>
      <c r="H51" s="38">
        <f t="shared" si="15"/>
        <v>0</v>
      </c>
      <c r="I51" s="38">
        <f>H51*F51</f>
        <v>0</v>
      </c>
      <c r="J51" s="12"/>
      <c r="K51" s="40">
        <f t="shared" si="12"/>
        <v>0</v>
      </c>
      <c r="L51" s="41">
        <f t="shared" si="13"/>
        <v>0</v>
      </c>
    </row>
    <row r="52" spans="1:12" x14ac:dyDescent="0.3">
      <c r="A52" s="9" t="s">
        <v>68</v>
      </c>
      <c r="B52" s="12" t="s">
        <v>69</v>
      </c>
      <c r="C52" s="15"/>
      <c r="D52" s="14" t="s">
        <v>43</v>
      </c>
      <c r="E52" s="14">
        <f>C52*2.5%</f>
        <v>0</v>
      </c>
      <c r="F52" s="41">
        <f>F11</f>
        <v>1</v>
      </c>
      <c r="G52" s="14">
        <f t="shared" si="14"/>
        <v>0</v>
      </c>
      <c r="H52" s="38">
        <f t="shared" si="15"/>
        <v>0</v>
      </c>
      <c r="I52" s="38">
        <f t="shared" ref="I52:I56" si="16">H52*F52</f>
        <v>0</v>
      </c>
      <c r="J52" s="12"/>
      <c r="K52" s="40">
        <f t="shared" si="12"/>
        <v>0</v>
      </c>
      <c r="L52" s="41">
        <f t="shared" si="13"/>
        <v>0</v>
      </c>
    </row>
    <row r="53" spans="1:12" x14ac:dyDescent="0.3">
      <c r="A53" s="12"/>
      <c r="B53" s="12" t="s">
        <v>70</v>
      </c>
      <c r="C53" s="15"/>
      <c r="D53" s="14" t="s">
        <v>43</v>
      </c>
      <c r="E53" s="14">
        <f>C53*2%</f>
        <v>0</v>
      </c>
      <c r="F53" s="41">
        <f>F11</f>
        <v>1</v>
      </c>
      <c r="G53" s="14">
        <f t="shared" si="14"/>
        <v>0</v>
      </c>
      <c r="H53" s="38">
        <f t="shared" si="15"/>
        <v>0</v>
      </c>
      <c r="I53" s="38">
        <f t="shared" si="16"/>
        <v>0</v>
      </c>
      <c r="J53" s="12"/>
      <c r="K53" s="40">
        <f t="shared" si="12"/>
        <v>0</v>
      </c>
      <c r="L53" s="41">
        <f t="shared" si="13"/>
        <v>0</v>
      </c>
    </row>
    <row r="54" spans="1:12" x14ac:dyDescent="0.3">
      <c r="A54" s="12"/>
      <c r="B54" s="12" t="s">
        <v>71</v>
      </c>
      <c r="C54" s="15"/>
      <c r="D54" s="14" t="s">
        <v>43</v>
      </c>
      <c r="E54" s="14">
        <v>1200</v>
      </c>
      <c r="F54" s="41">
        <f>F11</f>
        <v>1</v>
      </c>
      <c r="G54" s="14">
        <f t="shared" si="14"/>
        <v>1200</v>
      </c>
      <c r="H54" s="38">
        <f t="shared" si="15"/>
        <v>1200</v>
      </c>
      <c r="I54" s="38">
        <f t="shared" si="16"/>
        <v>1200</v>
      </c>
      <c r="J54" s="12"/>
      <c r="K54" s="40">
        <f t="shared" si="12"/>
        <v>0</v>
      </c>
      <c r="L54" s="41">
        <f t="shared" si="13"/>
        <v>1200</v>
      </c>
    </row>
    <row r="55" spans="1:12" x14ac:dyDescent="0.3">
      <c r="A55" s="12"/>
      <c r="B55" s="12" t="s">
        <v>72</v>
      </c>
      <c r="C55" s="15">
        <f>B61</f>
        <v>4675</v>
      </c>
      <c r="D55" s="14" t="s">
        <v>43</v>
      </c>
      <c r="E55" s="14">
        <f>C55*5%</f>
        <v>233.75</v>
      </c>
      <c r="F55" s="41">
        <f>F11</f>
        <v>1</v>
      </c>
      <c r="G55" s="14">
        <f t="shared" si="14"/>
        <v>233.75</v>
      </c>
      <c r="H55" s="38">
        <f t="shared" si="15"/>
        <v>233.75</v>
      </c>
      <c r="I55" s="38">
        <f t="shared" si="16"/>
        <v>233.75</v>
      </c>
      <c r="J55" s="12"/>
      <c r="K55" s="40">
        <f t="shared" si="12"/>
        <v>0</v>
      </c>
      <c r="L55" s="41">
        <f t="shared" si="13"/>
        <v>233.75</v>
      </c>
    </row>
    <row r="56" spans="1:12" x14ac:dyDescent="0.3">
      <c r="A56" s="12" t="s">
        <v>73</v>
      </c>
      <c r="B56" s="54" t="s">
        <v>74</v>
      </c>
      <c r="C56" s="55"/>
      <c r="D56" s="55" t="s">
        <v>43</v>
      </c>
      <c r="E56" s="55">
        <v>420</v>
      </c>
      <c r="F56" s="41">
        <f>F11</f>
        <v>1</v>
      </c>
      <c r="G56" s="55">
        <v>420</v>
      </c>
      <c r="H56" s="56">
        <v>420</v>
      </c>
      <c r="I56" s="38">
        <f t="shared" si="16"/>
        <v>420</v>
      </c>
      <c r="J56" s="54"/>
      <c r="K56" s="57">
        <f t="shared" si="12"/>
        <v>0</v>
      </c>
      <c r="L56" s="58">
        <f t="shared" si="13"/>
        <v>420</v>
      </c>
    </row>
    <row r="57" spans="1:12" x14ac:dyDescent="0.3">
      <c r="A57" s="2"/>
      <c r="B57" s="2"/>
      <c r="C57" s="1"/>
      <c r="D57" s="1"/>
      <c r="E57" s="1"/>
      <c r="F57" s="59">
        <f>F11</f>
        <v>1</v>
      </c>
      <c r="G57" s="1"/>
      <c r="H57" s="59">
        <f>SUM(H47:H56)</f>
        <v>3425.6281250000002</v>
      </c>
      <c r="I57" s="59">
        <f>SUM(I47:I56)</f>
        <v>3425.6281250000002</v>
      </c>
      <c r="J57" s="60"/>
      <c r="K57" s="59">
        <f>SUM(K47:K56)</f>
        <v>216.56366249999996</v>
      </c>
      <c r="L57" s="59">
        <f>SUM(L47:L56)</f>
        <v>3642.1917875000004</v>
      </c>
    </row>
    <row r="58" spans="1:12" x14ac:dyDescent="0.3">
      <c r="A58" s="2"/>
      <c r="B58" s="2"/>
      <c r="C58" s="1"/>
      <c r="D58" s="1"/>
      <c r="E58" s="1"/>
      <c r="F58" s="2"/>
      <c r="G58" s="1"/>
      <c r="H58" s="61"/>
      <c r="I58" s="61"/>
    </row>
    <row r="59" spans="1:12" ht="46.2" customHeight="1" x14ac:dyDescent="0.3">
      <c r="A59" s="2"/>
      <c r="B59" s="2"/>
      <c r="C59" s="1"/>
      <c r="D59" s="1"/>
      <c r="E59" s="1"/>
      <c r="F59" s="2"/>
      <c r="G59" s="62" t="s">
        <v>75</v>
      </c>
      <c r="H59" s="2"/>
      <c r="I59" s="2"/>
      <c r="J59" s="2"/>
      <c r="K59" s="61"/>
      <c r="L59" s="2"/>
    </row>
    <row r="60" spans="1:12" ht="18" x14ac:dyDescent="0.35">
      <c r="A60" s="63" t="s">
        <v>76</v>
      </c>
      <c r="B60" s="64">
        <v>55</v>
      </c>
      <c r="C60" s="122" t="s">
        <v>77</v>
      </c>
      <c r="D60" s="122"/>
      <c r="E60" s="122"/>
      <c r="F60" s="122"/>
      <c r="G60" s="65">
        <f>G12</f>
        <v>1282.5</v>
      </c>
      <c r="H60" s="1"/>
      <c r="I60" s="1"/>
      <c r="J60" s="2"/>
      <c r="K60" s="2"/>
      <c r="L60" s="2"/>
    </row>
    <row r="61" spans="1:12" ht="18" x14ac:dyDescent="0.35">
      <c r="A61" s="63">
        <v>85</v>
      </c>
      <c r="B61" s="63">
        <f>B60*A61</f>
        <v>4675</v>
      </c>
      <c r="C61" s="122" t="s">
        <v>78</v>
      </c>
      <c r="D61" s="122"/>
      <c r="E61" s="122"/>
      <c r="F61" s="122"/>
      <c r="G61" s="65">
        <f>I57/F11</f>
        <v>3425.6281250000002</v>
      </c>
      <c r="H61" s="1"/>
      <c r="I61" s="1"/>
      <c r="J61" s="2"/>
      <c r="K61" s="2"/>
      <c r="L61" s="2"/>
    </row>
    <row r="62" spans="1:12" x14ac:dyDescent="0.3">
      <c r="A62" s="2"/>
      <c r="B62" s="2"/>
      <c r="C62" s="130" t="s">
        <v>79</v>
      </c>
      <c r="D62" s="130"/>
      <c r="E62" s="130"/>
      <c r="F62" s="130"/>
      <c r="G62" s="67">
        <f>SUM(G60:G61)</f>
        <v>4708.1281250000002</v>
      </c>
      <c r="H62" s="1"/>
      <c r="I62" s="1"/>
      <c r="J62" s="2"/>
      <c r="K62" s="2"/>
      <c r="L62" s="2"/>
    </row>
    <row r="63" spans="1:12" ht="18" x14ac:dyDescent="0.35">
      <c r="A63" s="63" t="s">
        <v>76</v>
      </c>
      <c r="B63" s="64">
        <f>H64</f>
        <v>49.559243421052635</v>
      </c>
      <c r="C63" s="2"/>
      <c r="G63" s="1"/>
      <c r="H63" s="1"/>
      <c r="I63" s="1"/>
      <c r="J63" s="2"/>
      <c r="K63" s="2"/>
      <c r="L63" s="2"/>
    </row>
    <row r="64" spans="1:12" ht="18" x14ac:dyDescent="0.35">
      <c r="A64" s="63">
        <v>95</v>
      </c>
      <c r="B64" s="64">
        <f>B63*A64</f>
        <v>4708.1281250000002</v>
      </c>
      <c r="C64" s="2"/>
      <c r="G64" s="68">
        <f>G62/A61</f>
        <v>55.389742647058824</v>
      </c>
      <c r="H64" s="69">
        <f>G62/A64</f>
        <v>49.559243421052635</v>
      </c>
      <c r="I64" s="1"/>
      <c r="J64" s="2"/>
      <c r="K64" s="2"/>
      <c r="L64" s="2"/>
    </row>
    <row r="65" spans="1:12" x14ac:dyDescent="0.3">
      <c r="A65" s="2"/>
      <c r="D65" s="70" t="s">
        <v>80</v>
      </c>
      <c r="E65" s="1"/>
      <c r="F65" s="71"/>
      <c r="G65" s="71"/>
      <c r="H65" s="1"/>
      <c r="I65" s="1"/>
      <c r="J65" s="2"/>
      <c r="K65" s="2"/>
      <c r="L65" s="2"/>
    </row>
    <row r="66" spans="1:12" x14ac:dyDescent="0.3">
      <c r="A66" s="2"/>
      <c r="B66" s="132" t="s">
        <v>190</v>
      </c>
      <c r="D66" s="72" t="s">
        <v>81</v>
      </c>
      <c r="E66" s="73">
        <f>I57/F57</f>
        <v>3425.6281250000002</v>
      </c>
      <c r="F66" s="74" t="s">
        <v>20</v>
      </c>
      <c r="G66" s="71"/>
      <c r="H66" s="1"/>
      <c r="I66" s="1"/>
      <c r="J66" s="2"/>
      <c r="K66" s="2"/>
      <c r="L66" s="2"/>
    </row>
    <row r="67" spans="1:12" x14ac:dyDescent="0.3">
      <c r="A67" s="2"/>
      <c r="B67" s="132"/>
      <c r="C67" s="2"/>
      <c r="D67" s="72" t="s">
        <v>21</v>
      </c>
      <c r="E67" s="73">
        <f>L57/F57</f>
        <v>3642.1917875000004</v>
      </c>
      <c r="F67" s="74" t="s">
        <v>20</v>
      </c>
      <c r="G67" s="71"/>
      <c r="H67" s="1"/>
      <c r="I67" s="1"/>
      <c r="J67" s="2"/>
      <c r="K67" s="2"/>
      <c r="L67" s="2"/>
    </row>
    <row r="68" spans="1:12" x14ac:dyDescent="0.3">
      <c r="A68" s="2"/>
      <c r="B68" s="132"/>
      <c r="C68" s="1"/>
      <c r="D68" s="76"/>
      <c r="E68" s="71"/>
      <c r="F68" s="71"/>
      <c r="G68" s="1"/>
      <c r="H68" s="2"/>
      <c r="I68" s="2"/>
      <c r="J68" s="2"/>
      <c r="K68" s="2"/>
      <c r="L68" s="2"/>
    </row>
    <row r="69" spans="1:12" x14ac:dyDescent="0.3">
      <c r="D69" s="77" t="s">
        <v>21</v>
      </c>
      <c r="E69" s="78"/>
      <c r="F69" s="79" t="s">
        <v>19</v>
      </c>
    </row>
    <row r="70" spans="1:12" x14ac:dyDescent="0.3">
      <c r="B70" s="122" t="s">
        <v>82</v>
      </c>
      <c r="C70" s="122"/>
      <c r="D70" s="65">
        <f>G13</f>
        <v>1436.4</v>
      </c>
      <c r="E70" s="75"/>
      <c r="F70" s="80">
        <f>G12</f>
        <v>1282.5</v>
      </c>
    </row>
    <row r="71" spans="1:12" x14ac:dyDescent="0.3">
      <c r="B71" s="124" t="s">
        <v>83</v>
      </c>
      <c r="C71" s="125"/>
      <c r="D71" s="65">
        <f>E67</f>
        <v>3642.1917875000004</v>
      </c>
      <c r="E71" s="75"/>
      <c r="F71" s="80">
        <f>E66</f>
        <v>3425.6281250000002</v>
      </c>
    </row>
    <row r="72" spans="1:12" x14ac:dyDescent="0.3">
      <c r="B72" s="66" t="s">
        <v>79</v>
      </c>
      <c r="C72" s="66"/>
      <c r="D72" s="67">
        <f>SUM(D70:D71)</f>
        <v>5078.5917875000005</v>
      </c>
      <c r="E72" s="78"/>
      <c r="F72" s="81">
        <f>SUM(F70:F71)</f>
        <v>4708.1281250000002</v>
      </c>
    </row>
    <row r="73" spans="1:12" x14ac:dyDescent="0.3">
      <c r="D73" s="82"/>
      <c r="E73" s="1"/>
      <c r="F73" s="71"/>
    </row>
    <row r="74" spans="1:12" x14ac:dyDescent="0.3">
      <c r="D74" s="68">
        <f>D72/A61</f>
        <v>59.748138676470596</v>
      </c>
      <c r="E74" s="1"/>
      <c r="F74" s="68">
        <f>F72/A61</f>
        <v>55.389742647058824</v>
      </c>
    </row>
    <row r="81" spans="4:4" x14ac:dyDescent="0.3">
      <c r="D81" s="43"/>
    </row>
    <row r="82" spans="4:4" x14ac:dyDescent="0.3">
      <c r="D82" s="43"/>
    </row>
    <row r="83" spans="4:4" x14ac:dyDescent="0.3">
      <c r="D83" s="43"/>
    </row>
    <row r="84" spans="4:4" x14ac:dyDescent="0.3">
      <c r="D84" s="43"/>
    </row>
    <row r="85" spans="4:4" x14ac:dyDescent="0.3">
      <c r="D85" s="43"/>
    </row>
  </sheetData>
  <mergeCells count="14">
    <mergeCell ref="B70:C70"/>
    <mergeCell ref="B71:C71"/>
    <mergeCell ref="D12:E12"/>
    <mergeCell ref="D13:E13"/>
    <mergeCell ref="C60:F60"/>
    <mergeCell ref="C61:F61"/>
    <mergeCell ref="C62:F62"/>
    <mergeCell ref="B66:B68"/>
    <mergeCell ref="L7:L8"/>
    <mergeCell ref="A1:F1"/>
    <mergeCell ref="A2:F2"/>
    <mergeCell ref="A3:F3"/>
    <mergeCell ref="A5:F5"/>
    <mergeCell ref="J7:K7"/>
  </mergeCells>
  <pageMargins left="0" right="0" top="0.15748031496062992" bottom="0.15748031496062992" header="0.31496062992125984" footer="0.31496062992125984"/>
  <pageSetup paperSize="9" scale="85" orientation="landscape" verticalDpi="0" r:id="rId1"/>
  <ignoredErrors>
    <ignoredError sqref="K47:L47 I43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C850-11DD-48C5-B953-BF2B7C442B0D}">
  <dimension ref="A1:L79"/>
  <sheetViews>
    <sheetView topLeftCell="A53" workbookViewId="0">
      <selection sqref="A1:L68"/>
    </sheetView>
  </sheetViews>
  <sheetFormatPr defaultRowHeight="14.4" x14ac:dyDescent="0.3"/>
  <cols>
    <col min="1" max="1" width="9.88671875" bestFit="1" customWidth="1"/>
    <col min="2" max="2" width="46.44140625" bestFit="1" customWidth="1"/>
    <col min="3" max="3" width="13.109375" bestFit="1" customWidth="1"/>
    <col min="4" max="4" width="10.33203125" bestFit="1" customWidth="1"/>
    <col min="5" max="5" width="7.5546875" bestFit="1" customWidth="1"/>
    <col min="6" max="6" width="8.5546875" bestFit="1" customWidth="1"/>
    <col min="7" max="7" width="9.6640625" style="43" customWidth="1"/>
    <col min="8" max="8" width="7.88671875" bestFit="1" customWidth="1"/>
    <col min="9" max="9" width="9.44140625" bestFit="1" customWidth="1"/>
    <col min="10" max="10" width="5.44140625" bestFit="1" customWidth="1"/>
    <col min="11" max="11" width="9.109375" bestFit="1" customWidth="1"/>
    <col min="12" max="12" width="9.6640625" bestFit="1" customWidth="1"/>
    <col min="13" max="13" width="5" bestFit="1" customWidth="1"/>
    <col min="14" max="14" width="7" bestFit="1" customWidth="1"/>
  </cols>
  <sheetData>
    <row r="1" spans="1:12" x14ac:dyDescent="0.3">
      <c r="A1" s="114" t="s">
        <v>0</v>
      </c>
      <c r="B1" s="115"/>
      <c r="C1" s="115"/>
      <c r="D1" s="115"/>
      <c r="E1" s="115"/>
      <c r="F1" s="115"/>
      <c r="G1" s="1"/>
      <c r="H1" s="2"/>
      <c r="I1" s="2"/>
      <c r="J1" s="2"/>
      <c r="K1" s="2"/>
      <c r="L1" s="2"/>
    </row>
    <row r="2" spans="1:12" x14ac:dyDescent="0.3">
      <c r="A2" s="114" t="s">
        <v>1</v>
      </c>
      <c r="B2" s="115"/>
      <c r="C2" s="115"/>
      <c r="D2" s="115"/>
      <c r="E2" s="115"/>
      <c r="F2" s="115"/>
      <c r="G2" s="1"/>
      <c r="H2" s="2"/>
      <c r="I2" s="2"/>
      <c r="J2" s="2"/>
      <c r="K2" s="2"/>
      <c r="L2" s="2"/>
    </row>
    <row r="3" spans="1:12" ht="18" x14ac:dyDescent="0.35">
      <c r="A3" s="116" t="s">
        <v>174</v>
      </c>
      <c r="B3" s="116"/>
      <c r="C3" s="116"/>
      <c r="D3" s="116"/>
      <c r="E3" s="116"/>
      <c r="F3" s="116"/>
      <c r="G3" s="3"/>
      <c r="H3" s="4"/>
      <c r="I3" s="4"/>
      <c r="J3" s="4"/>
      <c r="K3" s="4"/>
      <c r="L3" s="4"/>
    </row>
    <row r="4" spans="1:12" ht="21" x14ac:dyDescent="0.4">
      <c r="A4" s="128" t="s">
        <v>2</v>
      </c>
      <c r="B4" s="129"/>
      <c r="C4" s="129"/>
      <c r="D4" s="129"/>
      <c r="E4" s="129"/>
      <c r="F4" s="129"/>
      <c r="G4" s="1"/>
      <c r="H4" s="2"/>
      <c r="I4" s="2"/>
      <c r="J4" s="2"/>
      <c r="K4" s="2"/>
      <c r="L4" s="2"/>
    </row>
    <row r="5" spans="1:12" x14ac:dyDescent="0.3">
      <c r="A5" s="2"/>
      <c r="B5" s="2"/>
      <c r="C5" s="2"/>
      <c r="D5" s="2"/>
      <c r="E5" s="2"/>
      <c r="F5" s="2"/>
      <c r="G5" s="1"/>
      <c r="H5" s="2"/>
      <c r="I5" s="2"/>
      <c r="J5" s="2"/>
      <c r="K5" s="2"/>
      <c r="L5" s="2"/>
    </row>
    <row r="6" spans="1:12" ht="24" x14ac:dyDescent="0.3">
      <c r="A6" s="5" t="s">
        <v>3</v>
      </c>
      <c r="B6" s="6" t="s">
        <v>4</v>
      </c>
      <c r="C6" s="7" t="s">
        <v>5</v>
      </c>
      <c r="D6" s="7" t="s">
        <v>6</v>
      </c>
      <c r="E6" s="7" t="s">
        <v>7</v>
      </c>
      <c r="F6" s="6" t="s">
        <v>8</v>
      </c>
      <c r="G6" s="7" t="s">
        <v>9</v>
      </c>
      <c r="H6" s="8" t="s">
        <v>10</v>
      </c>
      <c r="I6" s="7" t="s">
        <v>11</v>
      </c>
      <c r="J6" s="117" t="s">
        <v>12</v>
      </c>
      <c r="K6" s="118"/>
      <c r="L6" s="119" t="s">
        <v>13</v>
      </c>
    </row>
    <row r="7" spans="1:12" x14ac:dyDescent="0.3">
      <c r="A7" s="9" t="s">
        <v>14</v>
      </c>
      <c r="B7" s="99" t="s">
        <v>175</v>
      </c>
      <c r="C7" s="10"/>
      <c r="D7" s="10"/>
      <c r="E7" s="10"/>
      <c r="F7" s="9"/>
      <c r="G7" s="10"/>
      <c r="H7" s="10"/>
      <c r="I7" s="10"/>
      <c r="J7" s="10" t="s">
        <v>15</v>
      </c>
      <c r="K7" s="11" t="s">
        <v>11</v>
      </c>
      <c r="L7" s="119"/>
    </row>
    <row r="8" spans="1:12" x14ac:dyDescent="0.3">
      <c r="A8" s="12"/>
      <c r="B8" s="99"/>
      <c r="C8" s="10" t="s">
        <v>156</v>
      </c>
      <c r="D8" s="14" t="s">
        <v>17</v>
      </c>
      <c r="E8" s="15">
        <v>1</v>
      </c>
      <c r="F8" s="15">
        <f>E8*F10</f>
        <v>1</v>
      </c>
      <c r="G8" s="14">
        <v>0</v>
      </c>
      <c r="H8" s="16">
        <f>F8*G8</f>
        <v>0</v>
      </c>
      <c r="I8" s="17">
        <f>F8*G8</f>
        <v>0</v>
      </c>
      <c r="J8" s="18">
        <v>0.12</v>
      </c>
      <c r="K8" s="19">
        <f>I8*J8</f>
        <v>0</v>
      </c>
      <c r="L8" s="15">
        <f>I8+K8</f>
        <v>0</v>
      </c>
    </row>
    <row r="9" spans="1:12" x14ac:dyDescent="0.3">
      <c r="A9" s="12"/>
      <c r="B9" s="99"/>
      <c r="C9" s="10"/>
      <c r="D9" s="14"/>
      <c r="E9" s="15"/>
      <c r="F9" s="15"/>
      <c r="G9" s="14"/>
      <c r="H9" s="16"/>
      <c r="I9" s="17"/>
      <c r="J9" s="18"/>
      <c r="K9" s="19"/>
      <c r="L9" s="15"/>
    </row>
    <row r="10" spans="1:12" ht="18" x14ac:dyDescent="0.3">
      <c r="A10" s="21"/>
      <c r="B10" s="99"/>
      <c r="C10" s="10"/>
      <c r="D10" s="22"/>
      <c r="E10" s="23"/>
      <c r="F10" s="24">
        <v>1</v>
      </c>
      <c r="G10" s="23"/>
      <c r="H10" s="25">
        <f>SUM(H8:H9)</f>
        <v>0</v>
      </c>
      <c r="I10" s="26">
        <f>SUM(I8:I9)</f>
        <v>0</v>
      </c>
      <c r="J10" s="27"/>
      <c r="K10" s="28">
        <f>SUM(K8:K9)</f>
        <v>0</v>
      </c>
      <c r="L10" s="29">
        <f>SUM(L8:L9)</f>
        <v>0</v>
      </c>
    </row>
    <row r="11" spans="1:12" x14ac:dyDescent="0.3">
      <c r="A11" s="12"/>
      <c r="B11" s="99"/>
      <c r="C11" s="20"/>
      <c r="D11" s="120" t="s">
        <v>19</v>
      </c>
      <c r="E11" s="121"/>
      <c r="F11" s="35" t="s">
        <v>20</v>
      </c>
      <c r="G11" s="36">
        <f>I10/F10</f>
        <v>0</v>
      </c>
      <c r="H11" s="37"/>
      <c r="I11" s="38"/>
      <c r="J11" s="39"/>
      <c r="K11" s="40"/>
      <c r="L11" s="41"/>
    </row>
    <row r="12" spans="1:12" x14ac:dyDescent="0.3">
      <c r="A12" s="12"/>
      <c r="B12" s="22"/>
      <c r="C12" s="14"/>
      <c r="D12" s="120" t="s">
        <v>21</v>
      </c>
      <c r="E12" s="121"/>
      <c r="F12" s="35" t="s">
        <v>20</v>
      </c>
      <c r="G12" s="36">
        <f>L10/F10</f>
        <v>0</v>
      </c>
      <c r="H12" s="37"/>
      <c r="I12" s="38"/>
      <c r="J12" s="39"/>
      <c r="K12" s="40"/>
      <c r="L12" s="41"/>
    </row>
    <row r="13" spans="1:12" x14ac:dyDescent="0.3">
      <c r="A13" s="9" t="s">
        <v>22</v>
      </c>
      <c r="B13" s="42" t="s">
        <v>176</v>
      </c>
      <c r="C13" s="14" t="s">
        <v>159</v>
      </c>
      <c r="D13" s="14" t="s">
        <v>24</v>
      </c>
      <c r="E13" s="14">
        <v>2.5</v>
      </c>
      <c r="F13" s="41">
        <f>E13*F10</f>
        <v>2.5</v>
      </c>
      <c r="G13" s="14">
        <v>52</v>
      </c>
      <c r="H13" s="37">
        <f>E13*G13</f>
        <v>130</v>
      </c>
      <c r="I13" s="38">
        <f>F13*G13</f>
        <v>130</v>
      </c>
      <c r="J13" s="39">
        <v>0.12</v>
      </c>
      <c r="K13" s="40">
        <f>I13*J13</f>
        <v>15.6</v>
      </c>
      <c r="L13" s="41">
        <f>I13+K13</f>
        <v>145.6</v>
      </c>
    </row>
    <row r="14" spans="1:12" x14ac:dyDescent="0.3">
      <c r="A14" s="9"/>
      <c r="B14" s="42" t="s">
        <v>25</v>
      </c>
      <c r="C14" s="14" t="str">
        <f>C6</f>
        <v>Colour</v>
      </c>
      <c r="D14" s="14" t="s">
        <v>24</v>
      </c>
      <c r="E14" s="14">
        <v>0.15</v>
      </c>
      <c r="F14" s="41">
        <f>E14*F10</f>
        <v>0.15</v>
      </c>
      <c r="G14" s="14">
        <v>550</v>
      </c>
      <c r="H14" s="37">
        <f>E14*G14</f>
        <v>82.5</v>
      </c>
      <c r="I14" s="38">
        <f>F14*G14</f>
        <v>82.5</v>
      </c>
      <c r="J14" s="39">
        <v>0.12</v>
      </c>
      <c r="K14" s="40">
        <f>I14*J14</f>
        <v>9.9</v>
      </c>
      <c r="L14" s="41">
        <f>I14+K14</f>
        <v>92.4</v>
      </c>
    </row>
    <row r="15" spans="1:12" x14ac:dyDescent="0.3">
      <c r="A15" s="9"/>
      <c r="B15" s="42"/>
      <c r="C15" s="14"/>
      <c r="D15" s="14"/>
      <c r="E15" s="14"/>
      <c r="F15" s="41"/>
      <c r="G15" s="14"/>
      <c r="H15" s="37"/>
      <c r="I15" s="38"/>
      <c r="J15" s="39"/>
      <c r="K15" s="40"/>
      <c r="L15" s="41"/>
    </row>
    <row r="16" spans="1:12" x14ac:dyDescent="0.3">
      <c r="A16" s="9" t="s">
        <v>26</v>
      </c>
      <c r="B16" s="12" t="s">
        <v>27</v>
      </c>
      <c r="C16" s="14" t="str">
        <f>C8</f>
        <v xml:space="preserve">DARK BLUE </v>
      </c>
      <c r="D16" s="14" t="s">
        <v>28</v>
      </c>
      <c r="E16" s="14">
        <v>100</v>
      </c>
      <c r="F16" s="41">
        <f>E16*F10</f>
        <v>100</v>
      </c>
      <c r="G16" s="14">
        <v>125</v>
      </c>
      <c r="H16" s="37">
        <f>F16/1000*G16/F10</f>
        <v>12.5</v>
      </c>
      <c r="I16" s="38">
        <f>F16/1000*G16</f>
        <v>12.5</v>
      </c>
      <c r="J16" s="39">
        <v>0.12</v>
      </c>
      <c r="K16" s="40">
        <f>I16*J16</f>
        <v>1.5</v>
      </c>
      <c r="L16" s="41">
        <f>I16+K16</f>
        <v>14</v>
      </c>
    </row>
    <row r="17" spans="1:12" x14ac:dyDescent="0.3">
      <c r="A17" s="9"/>
      <c r="B17" s="12" t="s">
        <v>29</v>
      </c>
      <c r="C17" s="14" t="str">
        <f>C8</f>
        <v xml:space="preserve">DARK BLUE </v>
      </c>
      <c r="D17" s="14" t="s">
        <v>28</v>
      </c>
      <c r="E17" s="14">
        <v>100</v>
      </c>
      <c r="F17" s="41">
        <f>E17*F10</f>
        <v>100</v>
      </c>
      <c r="G17" s="14">
        <v>257</v>
      </c>
      <c r="H17" s="37">
        <f>F17/5000*G17/F10</f>
        <v>5.14</v>
      </c>
      <c r="I17" s="38">
        <f>H17*F10</f>
        <v>5.14</v>
      </c>
      <c r="J17" s="39">
        <v>0.12</v>
      </c>
      <c r="K17" s="40">
        <f>I17*J17</f>
        <v>0.6167999999999999</v>
      </c>
      <c r="L17" s="41">
        <f>I17+K17</f>
        <v>5.7567999999999993</v>
      </c>
    </row>
    <row r="18" spans="1:12" x14ac:dyDescent="0.3">
      <c r="A18" s="9"/>
      <c r="B18" s="12" t="s">
        <v>30</v>
      </c>
      <c r="C18" s="14" t="str">
        <f>C8</f>
        <v xml:space="preserve">DARK BLUE </v>
      </c>
      <c r="D18" s="14" t="s">
        <v>28</v>
      </c>
      <c r="E18" s="14">
        <v>50</v>
      </c>
      <c r="F18" s="41">
        <f>E18*F10</f>
        <v>50</v>
      </c>
      <c r="G18" s="14">
        <v>162</v>
      </c>
      <c r="H18" s="37">
        <f>F18/1000*G18/F10</f>
        <v>8.1</v>
      </c>
      <c r="I18" s="38">
        <f>F18/1000*G18</f>
        <v>8.1</v>
      </c>
      <c r="J18" s="39">
        <v>0.12</v>
      </c>
      <c r="K18" s="40">
        <f>I18*J18</f>
        <v>0.97199999999999998</v>
      </c>
      <c r="L18" s="41">
        <f>I18+K18</f>
        <v>9.0719999999999992</v>
      </c>
    </row>
    <row r="19" spans="1:12" x14ac:dyDescent="0.3">
      <c r="A19" s="9"/>
      <c r="B19" s="12"/>
      <c r="C19" s="14"/>
      <c r="D19" s="14"/>
      <c r="E19" s="14"/>
      <c r="F19" s="41"/>
      <c r="G19" s="14"/>
      <c r="H19" s="37"/>
      <c r="I19" s="38"/>
      <c r="J19" s="39"/>
      <c r="K19" s="40"/>
      <c r="L19" s="41"/>
    </row>
    <row r="20" spans="1:12" x14ac:dyDescent="0.3">
      <c r="A20" s="9" t="s">
        <v>31</v>
      </c>
      <c r="B20" s="12" t="s">
        <v>32</v>
      </c>
      <c r="C20" s="14" t="s">
        <v>33</v>
      </c>
      <c r="D20" s="14" t="s">
        <v>34</v>
      </c>
      <c r="E20" s="14">
        <v>0</v>
      </c>
      <c r="F20" s="41">
        <f>E20*F10</f>
        <v>0</v>
      </c>
      <c r="G20" s="14">
        <v>16</v>
      </c>
      <c r="H20" s="37">
        <f>E20*G20</f>
        <v>0</v>
      </c>
      <c r="I20" s="38">
        <f>F20*G20</f>
        <v>0</v>
      </c>
      <c r="J20" s="39">
        <v>0.18</v>
      </c>
      <c r="K20" s="40">
        <f>I20*J20</f>
        <v>0</v>
      </c>
      <c r="L20" s="41">
        <f>I20+K20</f>
        <v>0</v>
      </c>
    </row>
    <row r="21" spans="1:12" x14ac:dyDescent="0.3">
      <c r="A21" s="9"/>
      <c r="B21" s="12" t="s">
        <v>35</v>
      </c>
      <c r="C21" s="14" t="s">
        <v>36</v>
      </c>
      <c r="D21" s="14" t="s">
        <v>37</v>
      </c>
      <c r="E21" s="14">
        <v>0</v>
      </c>
      <c r="F21" s="41">
        <f>E21*F10</f>
        <v>0</v>
      </c>
      <c r="G21" s="14">
        <v>88</v>
      </c>
      <c r="H21" s="37">
        <f>E21*G21</f>
        <v>0</v>
      </c>
      <c r="I21" s="38">
        <f>F21*G21</f>
        <v>0</v>
      </c>
      <c r="J21" s="39">
        <v>0.18</v>
      </c>
      <c r="K21" s="40">
        <f>I21*J21</f>
        <v>0</v>
      </c>
      <c r="L21" s="41">
        <f>I21+K21</f>
        <v>0</v>
      </c>
    </row>
    <row r="22" spans="1:12" x14ac:dyDescent="0.3">
      <c r="A22" s="9"/>
      <c r="B22" s="12" t="s">
        <v>38</v>
      </c>
      <c r="C22" s="14" t="s">
        <v>39</v>
      </c>
      <c r="D22" s="14" t="s">
        <v>34</v>
      </c>
      <c r="E22" s="14">
        <v>0</v>
      </c>
      <c r="F22" s="41">
        <f>E22*F10</f>
        <v>0</v>
      </c>
      <c r="G22" s="14">
        <v>0.6875</v>
      </c>
      <c r="H22" s="37">
        <f>E22*G22</f>
        <v>0</v>
      </c>
      <c r="I22" s="38">
        <f>F22*G22</f>
        <v>0</v>
      </c>
      <c r="J22" s="39">
        <v>0.18</v>
      </c>
      <c r="K22" s="40">
        <f>I22*J22</f>
        <v>0</v>
      </c>
      <c r="L22" s="41">
        <f>I22+K22</f>
        <v>0</v>
      </c>
    </row>
    <row r="23" spans="1:12" x14ac:dyDescent="0.3">
      <c r="A23" s="9"/>
      <c r="B23" s="12"/>
      <c r="C23" s="14"/>
      <c r="D23" s="14"/>
      <c r="E23" s="14"/>
      <c r="F23" s="41"/>
      <c r="G23" s="14"/>
      <c r="H23" s="37"/>
      <c r="I23" s="38"/>
      <c r="J23" s="39"/>
      <c r="K23" s="40"/>
      <c r="L23" s="41"/>
    </row>
    <row r="24" spans="1:12" x14ac:dyDescent="0.3">
      <c r="A24" s="9" t="s">
        <v>177</v>
      </c>
      <c r="B24" s="12" t="s">
        <v>178</v>
      </c>
      <c r="C24" s="14" t="str">
        <f>C8</f>
        <v xml:space="preserve">DARK BLUE </v>
      </c>
      <c r="D24" s="14" t="s">
        <v>43</v>
      </c>
      <c r="E24" s="14">
        <v>0</v>
      </c>
      <c r="F24" s="41">
        <f>E24*F10</f>
        <v>0</v>
      </c>
      <c r="G24" s="14">
        <f>1.6*85</f>
        <v>136</v>
      </c>
      <c r="H24" s="37">
        <f t="shared" ref="H24:H27" si="0">E24*G24</f>
        <v>0</v>
      </c>
      <c r="I24" s="38">
        <f t="shared" ref="I24:I27" si="1">F24*G24</f>
        <v>0</v>
      </c>
      <c r="J24" s="39">
        <v>0.18</v>
      </c>
      <c r="K24" s="40">
        <f t="shared" ref="K24:K27" si="2">I24*J24</f>
        <v>0</v>
      </c>
      <c r="L24" s="41">
        <f t="shared" ref="L24:L27" si="3">I24+K24</f>
        <v>0</v>
      </c>
    </row>
    <row r="25" spans="1:12" x14ac:dyDescent="0.3">
      <c r="A25" s="12"/>
      <c r="B25" s="12" t="s">
        <v>161</v>
      </c>
      <c r="C25" s="14" t="s">
        <v>162</v>
      </c>
      <c r="D25" s="14" t="s">
        <v>43</v>
      </c>
      <c r="E25" s="14">
        <v>13</v>
      </c>
      <c r="F25" s="41">
        <f>E25*F10</f>
        <v>13</v>
      </c>
      <c r="G25" s="14">
        <v>6.5</v>
      </c>
      <c r="H25" s="37">
        <f t="shared" si="0"/>
        <v>84.5</v>
      </c>
      <c r="I25" s="38">
        <f t="shared" si="1"/>
        <v>84.5</v>
      </c>
      <c r="J25" s="39">
        <v>0.18</v>
      </c>
      <c r="K25" s="40">
        <f t="shared" si="2"/>
        <v>15.209999999999999</v>
      </c>
      <c r="L25" s="41">
        <f t="shared" si="3"/>
        <v>99.71</v>
      </c>
    </row>
    <row r="26" spans="1:12" x14ac:dyDescent="0.3">
      <c r="A26" s="12"/>
      <c r="B26" s="12" t="s">
        <v>165</v>
      </c>
      <c r="C26" s="14" t="s">
        <v>164</v>
      </c>
      <c r="D26" s="14" t="s">
        <v>166</v>
      </c>
      <c r="E26" s="14">
        <v>7</v>
      </c>
      <c r="F26" s="41">
        <f>E26*F10</f>
        <v>7</v>
      </c>
      <c r="G26" s="14">
        <v>3</v>
      </c>
      <c r="H26" s="37">
        <f t="shared" si="0"/>
        <v>21</v>
      </c>
      <c r="I26" s="38">
        <f t="shared" si="1"/>
        <v>21</v>
      </c>
      <c r="J26" s="39">
        <v>0.18</v>
      </c>
      <c r="K26" s="40">
        <f t="shared" si="2"/>
        <v>3.78</v>
      </c>
      <c r="L26" s="41">
        <f t="shared" si="3"/>
        <v>24.78</v>
      </c>
    </row>
    <row r="27" spans="1:12" x14ac:dyDescent="0.3">
      <c r="A27" s="12"/>
      <c r="B27" s="12" t="s">
        <v>179</v>
      </c>
      <c r="C27" s="14" t="s">
        <v>164</v>
      </c>
      <c r="D27" s="14" t="s">
        <v>166</v>
      </c>
      <c r="E27" s="14">
        <v>0.5</v>
      </c>
      <c r="F27" s="41">
        <f>E27*F10</f>
        <v>0.5</v>
      </c>
      <c r="G27" s="14">
        <v>15</v>
      </c>
      <c r="H27" s="37">
        <f t="shared" si="0"/>
        <v>7.5</v>
      </c>
      <c r="I27" s="38">
        <f t="shared" si="1"/>
        <v>7.5</v>
      </c>
      <c r="J27" s="39">
        <v>0.18</v>
      </c>
      <c r="K27" s="40">
        <f t="shared" si="2"/>
        <v>1.3499999999999999</v>
      </c>
      <c r="L27" s="41">
        <f t="shared" si="3"/>
        <v>8.85</v>
      </c>
    </row>
    <row r="28" spans="1:12" x14ac:dyDescent="0.3">
      <c r="A28" s="12"/>
      <c r="B28" s="12"/>
      <c r="C28" s="14"/>
      <c r="D28" s="14"/>
      <c r="E28" s="14"/>
      <c r="F28" s="12"/>
      <c r="G28" s="14"/>
      <c r="H28" s="37"/>
      <c r="I28" s="38"/>
      <c r="J28" s="39"/>
      <c r="K28" s="40"/>
      <c r="L28" s="41"/>
    </row>
    <row r="29" spans="1:12" x14ac:dyDescent="0.3">
      <c r="A29" s="12" t="s">
        <v>47</v>
      </c>
      <c r="B29" s="12"/>
      <c r="C29" s="14"/>
      <c r="D29" s="14"/>
      <c r="E29" s="14"/>
      <c r="F29" s="41"/>
      <c r="G29" s="14"/>
      <c r="H29" s="37"/>
      <c r="I29" s="38"/>
      <c r="J29" s="39"/>
      <c r="K29" s="40"/>
      <c r="L29" s="41"/>
    </row>
    <row r="30" spans="1:12" x14ac:dyDescent="0.3">
      <c r="A30" s="12"/>
      <c r="B30" s="12" t="s">
        <v>168</v>
      </c>
      <c r="C30" s="14" t="s">
        <v>36</v>
      </c>
      <c r="D30" s="14" t="s">
        <v>43</v>
      </c>
      <c r="E30" s="14">
        <v>1</v>
      </c>
      <c r="F30" s="41">
        <f>E30*F10</f>
        <v>1</v>
      </c>
      <c r="G30" s="14">
        <v>7.5</v>
      </c>
      <c r="H30" s="37">
        <f>E30*G30</f>
        <v>7.5</v>
      </c>
      <c r="I30" s="38">
        <f>F30*G30</f>
        <v>7.5</v>
      </c>
      <c r="J30" s="39">
        <v>0.12</v>
      </c>
      <c r="K30" s="40">
        <f>I30*J30</f>
        <v>0.89999999999999991</v>
      </c>
      <c r="L30" s="41">
        <f>I30+K30</f>
        <v>8.4</v>
      </c>
    </row>
    <row r="31" spans="1:12" x14ac:dyDescent="0.3">
      <c r="A31" s="12"/>
      <c r="B31" s="12" t="s">
        <v>169</v>
      </c>
      <c r="C31" s="14" t="s">
        <v>36</v>
      </c>
      <c r="D31" s="14" t="s">
        <v>43</v>
      </c>
      <c r="E31" s="14">
        <v>0</v>
      </c>
      <c r="F31" s="41">
        <f>E31*F10</f>
        <v>0</v>
      </c>
      <c r="G31" s="14">
        <v>4</v>
      </c>
      <c r="H31" s="37">
        <f>E31*G31</f>
        <v>0</v>
      </c>
      <c r="I31" s="38">
        <f>F31*G31</f>
        <v>0</v>
      </c>
      <c r="J31" s="39">
        <v>0.12</v>
      </c>
      <c r="K31" s="40">
        <f>I31*J31</f>
        <v>0</v>
      </c>
      <c r="L31" s="41">
        <f>I31+K31</f>
        <v>0</v>
      </c>
    </row>
    <row r="32" spans="1:12" x14ac:dyDescent="0.3">
      <c r="A32" s="12"/>
      <c r="B32" s="12" t="s">
        <v>49</v>
      </c>
      <c r="C32" s="14" t="s">
        <v>36</v>
      </c>
      <c r="D32" s="14" t="s">
        <v>43</v>
      </c>
      <c r="E32" s="14">
        <v>0</v>
      </c>
      <c r="F32" s="41">
        <f>E32*F10</f>
        <v>0</v>
      </c>
      <c r="G32" s="14">
        <v>3.5</v>
      </c>
      <c r="H32" s="37">
        <f>E32*G32</f>
        <v>0</v>
      </c>
      <c r="I32" s="38">
        <f>F32*G32</f>
        <v>0</v>
      </c>
      <c r="J32" s="39">
        <v>0.12</v>
      </c>
      <c r="K32" s="40">
        <f>I32*J32</f>
        <v>0</v>
      </c>
      <c r="L32" s="41">
        <f>I32+K32</f>
        <v>0</v>
      </c>
    </row>
    <row r="33" spans="1:12" x14ac:dyDescent="0.3">
      <c r="A33" s="9"/>
      <c r="B33" s="12" t="s">
        <v>50</v>
      </c>
      <c r="C33" s="14" t="s">
        <v>36</v>
      </c>
      <c r="D33" s="14" t="s">
        <v>43</v>
      </c>
      <c r="E33" s="14">
        <v>1</v>
      </c>
      <c r="F33" s="41">
        <f>E33*F10</f>
        <v>1</v>
      </c>
      <c r="G33" s="14">
        <v>4</v>
      </c>
      <c r="H33" s="37">
        <v>4</v>
      </c>
      <c r="I33" s="38">
        <f>F33*G33</f>
        <v>4</v>
      </c>
      <c r="J33" s="39">
        <v>0.12</v>
      </c>
      <c r="K33" s="40">
        <f>I33*J33</f>
        <v>0.48</v>
      </c>
      <c r="L33" s="41">
        <f>I33+K33</f>
        <v>4.4800000000000004</v>
      </c>
    </row>
    <row r="34" spans="1:12" x14ac:dyDescent="0.3">
      <c r="A34" s="9"/>
      <c r="B34" s="12"/>
      <c r="C34" s="14"/>
      <c r="D34" s="14"/>
      <c r="E34" s="14"/>
      <c r="F34" s="41"/>
      <c r="G34" s="14"/>
      <c r="H34" s="12"/>
      <c r="I34" s="41"/>
      <c r="J34" s="39"/>
      <c r="K34" s="41"/>
      <c r="L34" s="41"/>
    </row>
    <row r="35" spans="1:12" ht="21.6" x14ac:dyDescent="0.3">
      <c r="A35" s="100" t="s">
        <v>51</v>
      </c>
      <c r="B35" s="21" t="s">
        <v>52</v>
      </c>
      <c r="C35" s="23" t="s">
        <v>36</v>
      </c>
      <c r="D35" s="23" t="s">
        <v>43</v>
      </c>
      <c r="E35" s="23">
        <v>0</v>
      </c>
      <c r="F35" s="45">
        <f>F10*E35</f>
        <v>0</v>
      </c>
      <c r="G35" s="23">
        <v>12</v>
      </c>
      <c r="H35" s="46">
        <f t="shared" ref="H35:H40" si="4">E35*G35</f>
        <v>0</v>
      </c>
      <c r="I35" s="47">
        <f t="shared" ref="I35:I39" si="5">F35*G35</f>
        <v>0</v>
      </c>
      <c r="J35" s="48">
        <v>0.18</v>
      </c>
      <c r="K35" s="49">
        <f t="shared" ref="K35:K40" si="6">I35*J35</f>
        <v>0</v>
      </c>
      <c r="L35" s="45">
        <f t="shared" ref="L35:L41" si="7">I35+K35</f>
        <v>0</v>
      </c>
    </row>
    <row r="36" spans="1:12" x14ac:dyDescent="0.3">
      <c r="A36" s="12"/>
      <c r="B36" s="12" t="s">
        <v>53</v>
      </c>
      <c r="C36" s="14" t="s">
        <v>36</v>
      </c>
      <c r="D36" s="14" t="s">
        <v>43</v>
      </c>
      <c r="E36" s="14">
        <v>0</v>
      </c>
      <c r="F36" s="41">
        <f>E36*F10</f>
        <v>0</v>
      </c>
      <c r="G36" s="14">
        <v>5</v>
      </c>
      <c r="H36" s="37">
        <f t="shared" si="4"/>
        <v>0</v>
      </c>
      <c r="I36" s="38">
        <f t="shared" si="5"/>
        <v>0</v>
      </c>
      <c r="J36" s="39">
        <v>0.18</v>
      </c>
      <c r="K36" s="40">
        <f t="shared" si="6"/>
        <v>0</v>
      </c>
      <c r="L36" s="41">
        <f t="shared" si="7"/>
        <v>0</v>
      </c>
    </row>
    <row r="37" spans="1:12" x14ac:dyDescent="0.3">
      <c r="A37" s="12"/>
      <c r="B37" s="12" t="s">
        <v>54</v>
      </c>
      <c r="C37" s="14" t="s">
        <v>36</v>
      </c>
      <c r="D37" s="14" t="s">
        <v>55</v>
      </c>
      <c r="E37" s="14">
        <v>0</v>
      </c>
      <c r="F37" s="41">
        <f>E37*F10</f>
        <v>0</v>
      </c>
      <c r="G37" s="14">
        <v>12</v>
      </c>
      <c r="H37" s="37">
        <f t="shared" si="4"/>
        <v>0</v>
      </c>
      <c r="I37" s="38">
        <f t="shared" si="5"/>
        <v>0</v>
      </c>
      <c r="J37" s="39">
        <v>0.18</v>
      </c>
      <c r="K37" s="40">
        <f t="shared" si="6"/>
        <v>0</v>
      </c>
      <c r="L37" s="41">
        <f t="shared" si="7"/>
        <v>0</v>
      </c>
    </row>
    <row r="38" spans="1:12" x14ac:dyDescent="0.3">
      <c r="A38" s="12"/>
      <c r="B38" s="12" t="s">
        <v>56</v>
      </c>
      <c r="C38" s="14" t="s">
        <v>36</v>
      </c>
      <c r="D38" s="14" t="s">
        <v>55</v>
      </c>
      <c r="E38" s="14">
        <v>0</v>
      </c>
      <c r="F38" s="41">
        <f>E38*F10</f>
        <v>0</v>
      </c>
      <c r="G38" s="14">
        <v>115</v>
      </c>
      <c r="H38" s="37">
        <f t="shared" si="4"/>
        <v>0</v>
      </c>
      <c r="I38" s="38">
        <f>H38*F10</f>
        <v>0</v>
      </c>
      <c r="J38" s="39">
        <v>0.18</v>
      </c>
      <c r="K38" s="40">
        <f t="shared" si="6"/>
        <v>0</v>
      </c>
      <c r="L38" s="41">
        <f t="shared" si="7"/>
        <v>0</v>
      </c>
    </row>
    <row r="39" spans="1:12" x14ac:dyDescent="0.3">
      <c r="A39" s="12"/>
      <c r="B39" s="12" t="s">
        <v>57</v>
      </c>
      <c r="C39" s="14" t="s">
        <v>36</v>
      </c>
      <c r="D39" s="14" t="s">
        <v>58</v>
      </c>
      <c r="E39" s="14">
        <v>0</v>
      </c>
      <c r="F39" s="41">
        <f>E39*F10</f>
        <v>0</v>
      </c>
      <c r="G39" s="14">
        <v>1.35</v>
      </c>
      <c r="H39" s="37">
        <f t="shared" si="4"/>
        <v>0</v>
      </c>
      <c r="I39" s="38">
        <f t="shared" si="5"/>
        <v>0</v>
      </c>
      <c r="J39" s="39">
        <v>0.18</v>
      </c>
      <c r="K39" s="40">
        <f t="shared" si="6"/>
        <v>0</v>
      </c>
      <c r="L39" s="41">
        <f t="shared" si="7"/>
        <v>0</v>
      </c>
    </row>
    <row r="40" spans="1:12" x14ac:dyDescent="0.3">
      <c r="A40" s="12"/>
      <c r="B40" s="12" t="s">
        <v>59</v>
      </c>
      <c r="C40" s="14" t="s">
        <v>36</v>
      </c>
      <c r="D40" s="14" t="s">
        <v>43</v>
      </c>
      <c r="E40" s="14">
        <v>0</v>
      </c>
      <c r="F40" s="41">
        <f>E40*F10</f>
        <v>0</v>
      </c>
      <c r="G40" s="14">
        <v>168</v>
      </c>
      <c r="H40" s="37">
        <f t="shared" si="4"/>
        <v>0</v>
      </c>
      <c r="I40" s="38">
        <f>F40*G40</f>
        <v>0</v>
      </c>
      <c r="J40" s="39">
        <v>0.18</v>
      </c>
      <c r="K40" s="40">
        <f t="shared" si="6"/>
        <v>0</v>
      </c>
      <c r="L40" s="41">
        <f t="shared" si="7"/>
        <v>0</v>
      </c>
    </row>
    <row r="41" spans="1:12" x14ac:dyDescent="0.3">
      <c r="A41" s="12"/>
      <c r="B41" s="12" t="s">
        <v>60</v>
      </c>
      <c r="C41" s="14" t="s">
        <v>61</v>
      </c>
      <c r="D41" s="14" t="s">
        <v>62</v>
      </c>
      <c r="E41" s="14">
        <v>0</v>
      </c>
      <c r="F41" s="41">
        <f>E41*F10</f>
        <v>0</v>
      </c>
      <c r="G41" s="14">
        <v>54</v>
      </c>
      <c r="H41" s="37">
        <f>E41*G41</f>
        <v>0</v>
      </c>
      <c r="I41" s="38">
        <f>F41*G41</f>
        <v>0</v>
      </c>
      <c r="J41" s="39">
        <v>0.18</v>
      </c>
      <c r="K41" s="40">
        <f>I41*J41</f>
        <v>0</v>
      </c>
      <c r="L41" s="41">
        <f t="shared" si="7"/>
        <v>0</v>
      </c>
    </row>
    <row r="42" spans="1:12" x14ac:dyDescent="0.3">
      <c r="A42" s="12"/>
      <c r="B42" s="12"/>
      <c r="C42" s="14"/>
      <c r="D42" s="14"/>
      <c r="E42" s="14"/>
      <c r="F42" s="41"/>
      <c r="G42" s="14"/>
      <c r="H42" s="50">
        <f>SUM(H13:H41)</f>
        <v>362.74</v>
      </c>
      <c r="I42" s="50">
        <f>SUM(I13:I41)</f>
        <v>362.74</v>
      </c>
      <c r="J42" s="51"/>
      <c r="K42" s="52">
        <f>SUM(K13:K41)</f>
        <v>50.308799999999998</v>
      </c>
      <c r="L42" s="53">
        <f>SUM(L13:L41)</f>
        <v>413.04880000000003</v>
      </c>
    </row>
    <row r="43" spans="1:12" x14ac:dyDescent="0.3">
      <c r="A43" s="12" t="s">
        <v>63</v>
      </c>
      <c r="B43" s="12" t="s">
        <v>64</v>
      </c>
      <c r="C43" s="15"/>
      <c r="D43" s="14" t="s">
        <v>43</v>
      </c>
      <c r="E43" s="14">
        <f>C43*1%</f>
        <v>0</v>
      </c>
      <c r="F43" s="41">
        <f>F10</f>
        <v>1</v>
      </c>
      <c r="G43" s="14">
        <f>E43</f>
        <v>0</v>
      </c>
      <c r="H43" s="38">
        <f>G43</f>
        <v>0</v>
      </c>
      <c r="I43" s="38">
        <f>H43*F43</f>
        <v>0</v>
      </c>
      <c r="J43" s="39">
        <v>0.18</v>
      </c>
      <c r="K43" s="40">
        <f t="shared" ref="K43:K51" si="8">I43*J43</f>
        <v>0</v>
      </c>
      <c r="L43" s="41">
        <f t="shared" ref="L43:L51" si="9">I43+K43</f>
        <v>0</v>
      </c>
    </row>
    <row r="44" spans="1:12" x14ac:dyDescent="0.3">
      <c r="A44" s="12"/>
      <c r="B44" s="12" t="s">
        <v>65</v>
      </c>
      <c r="C44" s="15"/>
      <c r="D44" s="14" t="s">
        <v>43</v>
      </c>
      <c r="E44" s="14">
        <f>C44*1%</f>
        <v>0</v>
      </c>
      <c r="F44" s="41">
        <f>F10</f>
        <v>1</v>
      </c>
      <c r="G44" s="14">
        <f>E44</f>
        <v>0</v>
      </c>
      <c r="H44" s="38">
        <f>G44</f>
        <v>0</v>
      </c>
      <c r="I44" s="38">
        <f>H44*F44</f>
        <v>0</v>
      </c>
      <c r="J44" s="39">
        <v>0.18</v>
      </c>
      <c r="K44" s="40">
        <f t="shared" si="8"/>
        <v>0</v>
      </c>
      <c r="L44" s="41">
        <f t="shared" si="9"/>
        <v>0</v>
      </c>
    </row>
    <row r="45" spans="1:12" x14ac:dyDescent="0.3">
      <c r="A45" s="12"/>
      <c r="B45" s="12" t="s">
        <v>66</v>
      </c>
      <c r="C45" s="15"/>
      <c r="D45" s="14" t="s">
        <v>43</v>
      </c>
      <c r="E45" s="14">
        <f>C45*5%</f>
        <v>0</v>
      </c>
      <c r="F45" s="41">
        <f>F10</f>
        <v>1</v>
      </c>
      <c r="G45" s="14">
        <f t="shared" ref="G45:G49" si="10">E45</f>
        <v>0</v>
      </c>
      <c r="H45" s="38">
        <f t="shared" ref="H45:H50" si="11">G45</f>
        <v>0</v>
      </c>
      <c r="I45" s="38">
        <f>H45*F45</f>
        <v>0</v>
      </c>
      <c r="J45" s="39"/>
      <c r="K45" s="40">
        <f t="shared" si="8"/>
        <v>0</v>
      </c>
      <c r="L45" s="41">
        <f t="shared" si="9"/>
        <v>0</v>
      </c>
    </row>
    <row r="46" spans="1:12" x14ac:dyDescent="0.3">
      <c r="A46" s="12"/>
      <c r="B46" s="12" t="s">
        <v>67</v>
      </c>
      <c r="C46" s="15"/>
      <c r="D46" s="14" t="s">
        <v>43</v>
      </c>
      <c r="E46" s="14">
        <f>C46*7%</f>
        <v>0</v>
      </c>
      <c r="F46" s="41">
        <f>F10</f>
        <v>1</v>
      </c>
      <c r="G46" s="14">
        <f t="shared" si="10"/>
        <v>0</v>
      </c>
      <c r="H46" s="38">
        <f t="shared" si="11"/>
        <v>0</v>
      </c>
      <c r="I46" s="38">
        <f>H46*F46</f>
        <v>0</v>
      </c>
      <c r="J46" s="12"/>
      <c r="K46" s="40">
        <f t="shared" si="8"/>
        <v>0</v>
      </c>
      <c r="L46" s="41">
        <f t="shared" si="9"/>
        <v>0</v>
      </c>
    </row>
    <row r="47" spans="1:12" x14ac:dyDescent="0.3">
      <c r="A47" s="9" t="s">
        <v>68</v>
      </c>
      <c r="B47" s="12" t="s">
        <v>69</v>
      </c>
      <c r="C47" s="15"/>
      <c r="D47" s="14" t="s">
        <v>43</v>
      </c>
      <c r="E47" s="14">
        <f>C47*2.5%</f>
        <v>0</v>
      </c>
      <c r="F47" s="41">
        <f>F10</f>
        <v>1</v>
      </c>
      <c r="G47" s="14">
        <f t="shared" si="10"/>
        <v>0</v>
      </c>
      <c r="H47" s="38">
        <f t="shared" si="11"/>
        <v>0</v>
      </c>
      <c r="I47" s="38">
        <f t="shared" ref="I47:I51" si="12">H47*F47</f>
        <v>0</v>
      </c>
      <c r="J47" s="12"/>
      <c r="K47" s="40">
        <f t="shared" si="8"/>
        <v>0</v>
      </c>
      <c r="L47" s="41">
        <f t="shared" si="9"/>
        <v>0</v>
      </c>
    </row>
    <row r="48" spans="1:12" x14ac:dyDescent="0.3">
      <c r="A48" s="12"/>
      <c r="B48" s="12" t="s">
        <v>70</v>
      </c>
      <c r="C48" s="15"/>
      <c r="D48" s="14" t="s">
        <v>43</v>
      </c>
      <c r="E48" s="14">
        <f>C48*2%</f>
        <v>0</v>
      </c>
      <c r="F48" s="41">
        <f>F10</f>
        <v>1</v>
      </c>
      <c r="G48" s="14">
        <f t="shared" si="10"/>
        <v>0</v>
      </c>
      <c r="H48" s="38">
        <f t="shared" si="11"/>
        <v>0</v>
      </c>
      <c r="I48" s="38">
        <f t="shared" si="12"/>
        <v>0</v>
      </c>
      <c r="J48" s="12"/>
      <c r="K48" s="40">
        <f t="shared" si="8"/>
        <v>0</v>
      </c>
      <c r="L48" s="41">
        <f t="shared" si="9"/>
        <v>0</v>
      </c>
    </row>
    <row r="49" spans="1:12" x14ac:dyDescent="0.3">
      <c r="A49" s="12"/>
      <c r="B49" s="12" t="s">
        <v>71</v>
      </c>
      <c r="C49" s="15"/>
      <c r="D49" s="14" t="s">
        <v>43</v>
      </c>
      <c r="E49" s="14">
        <v>750</v>
      </c>
      <c r="F49" s="41">
        <f>F10</f>
        <v>1</v>
      </c>
      <c r="G49" s="14">
        <f t="shared" si="10"/>
        <v>750</v>
      </c>
      <c r="H49" s="38">
        <f t="shared" si="11"/>
        <v>750</v>
      </c>
      <c r="I49" s="38">
        <f t="shared" si="12"/>
        <v>750</v>
      </c>
      <c r="J49" s="12"/>
      <c r="K49" s="40">
        <f t="shared" si="8"/>
        <v>0</v>
      </c>
      <c r="L49" s="41">
        <f t="shared" si="9"/>
        <v>750</v>
      </c>
    </row>
    <row r="50" spans="1:12" x14ac:dyDescent="0.3">
      <c r="A50" s="12"/>
      <c r="B50" s="12" t="s">
        <v>72</v>
      </c>
      <c r="C50" s="15">
        <f>B55</f>
        <v>1147.5</v>
      </c>
      <c r="D50" s="14" t="s">
        <v>43</v>
      </c>
      <c r="E50" s="14">
        <f>C50*5%</f>
        <v>57.375</v>
      </c>
      <c r="F50" s="41">
        <f>F10</f>
        <v>1</v>
      </c>
      <c r="G50" s="14">
        <f>E50</f>
        <v>57.375</v>
      </c>
      <c r="H50" s="38">
        <f t="shared" si="11"/>
        <v>57.375</v>
      </c>
      <c r="I50" s="38">
        <f t="shared" si="12"/>
        <v>57.375</v>
      </c>
      <c r="J50" s="12"/>
      <c r="K50" s="40">
        <f t="shared" si="8"/>
        <v>0</v>
      </c>
      <c r="L50" s="41">
        <f t="shared" si="9"/>
        <v>57.375</v>
      </c>
    </row>
    <row r="51" spans="1:12" x14ac:dyDescent="0.3">
      <c r="A51" s="12" t="s">
        <v>73</v>
      </c>
      <c r="B51" s="54" t="s">
        <v>74</v>
      </c>
      <c r="C51" s="55"/>
      <c r="D51" s="55" t="s">
        <v>43</v>
      </c>
      <c r="E51" s="55">
        <v>0</v>
      </c>
      <c r="F51" s="41">
        <f>F10</f>
        <v>1</v>
      </c>
      <c r="G51" s="55">
        <v>0</v>
      </c>
      <c r="H51" s="56">
        <v>0</v>
      </c>
      <c r="I51" s="38">
        <f t="shared" si="12"/>
        <v>0</v>
      </c>
      <c r="J51" s="54"/>
      <c r="K51" s="57">
        <f t="shared" si="8"/>
        <v>0</v>
      </c>
      <c r="L51" s="58">
        <f t="shared" si="9"/>
        <v>0</v>
      </c>
    </row>
    <row r="52" spans="1:12" x14ac:dyDescent="0.3">
      <c r="A52" s="2"/>
      <c r="B52" s="2"/>
      <c r="C52" s="1"/>
      <c r="D52" s="1"/>
      <c r="E52" s="1"/>
      <c r="F52" s="59">
        <f>F10</f>
        <v>1</v>
      </c>
      <c r="G52" s="1"/>
      <c r="H52" s="59">
        <f>SUM(H42:H51)</f>
        <v>1170.115</v>
      </c>
      <c r="I52" s="59">
        <f>SUM(I42:I51)</f>
        <v>1170.115</v>
      </c>
      <c r="J52" s="60"/>
      <c r="K52" s="59">
        <f>SUM(K42:K51)</f>
        <v>50.308799999999998</v>
      </c>
      <c r="L52" s="59">
        <f>SUM(L42:L51)</f>
        <v>1220.4238</v>
      </c>
    </row>
    <row r="53" spans="1:12" ht="46.2" customHeight="1" x14ac:dyDescent="0.3">
      <c r="A53" s="2"/>
      <c r="B53" s="2"/>
      <c r="C53" s="1"/>
      <c r="D53" s="1"/>
      <c r="E53" s="1"/>
      <c r="F53" s="2"/>
      <c r="G53" s="62" t="s">
        <v>75</v>
      </c>
      <c r="H53" s="2"/>
      <c r="I53" s="2"/>
      <c r="J53" s="2"/>
      <c r="K53" s="61"/>
      <c r="L53" s="2"/>
    </row>
    <row r="54" spans="1:12" ht="18" x14ac:dyDescent="0.35">
      <c r="A54" s="63" t="s">
        <v>76</v>
      </c>
      <c r="B54" s="64">
        <v>13.5</v>
      </c>
      <c r="C54" s="122" t="s">
        <v>77</v>
      </c>
      <c r="D54" s="122"/>
      <c r="E54" s="122"/>
      <c r="F54" s="122"/>
      <c r="G54" s="65">
        <f>G11</f>
        <v>0</v>
      </c>
      <c r="H54" s="1"/>
      <c r="I54" s="1"/>
      <c r="J54" s="2"/>
      <c r="K54" s="2"/>
      <c r="L54" s="2"/>
    </row>
    <row r="55" spans="1:12" ht="18" x14ac:dyDescent="0.35">
      <c r="A55" s="63">
        <v>85</v>
      </c>
      <c r="B55" s="63">
        <f>B54*A55</f>
        <v>1147.5</v>
      </c>
      <c r="C55" s="122" t="s">
        <v>78</v>
      </c>
      <c r="D55" s="122"/>
      <c r="E55" s="122"/>
      <c r="F55" s="122"/>
      <c r="G55" s="65">
        <f>I52/F10</f>
        <v>1170.115</v>
      </c>
      <c r="H55" s="1"/>
      <c r="I55" s="1"/>
      <c r="J55" s="2"/>
      <c r="K55" s="2"/>
      <c r="L55" s="2"/>
    </row>
    <row r="56" spans="1:12" x14ac:dyDescent="0.3">
      <c r="A56" s="2"/>
      <c r="B56" s="2"/>
      <c r="C56" s="130" t="s">
        <v>79</v>
      </c>
      <c r="D56" s="130"/>
      <c r="E56" s="130"/>
      <c r="F56" s="130"/>
      <c r="G56" s="67">
        <f>SUM(G54:G55)</f>
        <v>1170.115</v>
      </c>
      <c r="H56" s="1"/>
      <c r="I56" s="1"/>
      <c r="J56" s="2"/>
      <c r="K56" s="2"/>
      <c r="L56" s="2"/>
    </row>
    <row r="57" spans="1:12" ht="18" x14ac:dyDescent="0.35">
      <c r="A57" s="63" t="s">
        <v>76</v>
      </c>
      <c r="B57" s="64">
        <f>H58</f>
        <v>12.317</v>
      </c>
      <c r="C57" s="2"/>
      <c r="G57" s="1"/>
      <c r="H57" s="1"/>
      <c r="I57" s="1"/>
      <c r="J57" s="2"/>
      <c r="K57" s="2"/>
      <c r="L57" s="2"/>
    </row>
    <row r="58" spans="1:12" ht="18" x14ac:dyDescent="0.35">
      <c r="A58" s="63">
        <v>95</v>
      </c>
      <c r="B58" s="64">
        <f>B57*A58</f>
        <v>1170.115</v>
      </c>
      <c r="C58" s="2"/>
      <c r="G58" s="68">
        <f>G56/A55</f>
        <v>13.766058823529411</v>
      </c>
      <c r="H58" s="69">
        <f>G56/A58</f>
        <v>12.317</v>
      </c>
      <c r="I58" s="1"/>
      <c r="J58" s="2"/>
      <c r="K58" s="2"/>
      <c r="L58" s="2"/>
    </row>
    <row r="59" spans="1:12" x14ac:dyDescent="0.3">
      <c r="A59" s="2"/>
      <c r="D59" s="70" t="s">
        <v>80</v>
      </c>
      <c r="E59" s="1"/>
      <c r="F59" s="71"/>
      <c r="G59" s="71"/>
      <c r="H59" s="1"/>
      <c r="I59" s="1"/>
      <c r="J59" s="2"/>
      <c r="K59" s="2"/>
      <c r="L59" s="2"/>
    </row>
    <row r="60" spans="1:12" x14ac:dyDescent="0.3">
      <c r="A60" s="2"/>
      <c r="D60" s="72" t="s">
        <v>81</v>
      </c>
      <c r="E60" s="73">
        <f>I52/F52</f>
        <v>1170.115</v>
      </c>
      <c r="F60" s="74" t="s">
        <v>20</v>
      </c>
      <c r="G60" s="71"/>
      <c r="H60" s="1"/>
      <c r="I60" s="1"/>
      <c r="J60" s="2"/>
      <c r="K60" s="2"/>
      <c r="L60" s="2"/>
    </row>
    <row r="61" spans="1:12" x14ac:dyDescent="0.3">
      <c r="A61" s="2"/>
      <c r="B61" s="133" t="s">
        <v>180</v>
      </c>
      <c r="C61" s="2"/>
      <c r="D61" s="72" t="s">
        <v>21</v>
      </c>
      <c r="E61" s="73">
        <f>L52/F52</f>
        <v>1220.4238</v>
      </c>
      <c r="F61" s="74" t="s">
        <v>20</v>
      </c>
      <c r="G61" s="71"/>
      <c r="H61" s="1"/>
      <c r="I61" s="1"/>
      <c r="J61" s="2"/>
      <c r="K61" s="2"/>
      <c r="L61" s="2"/>
    </row>
    <row r="62" spans="1:12" x14ac:dyDescent="0.3">
      <c r="A62" s="2"/>
      <c r="B62" s="133"/>
      <c r="C62" s="1"/>
      <c r="D62" s="76"/>
      <c r="E62" s="71"/>
      <c r="F62" s="71"/>
      <c r="G62" s="1"/>
      <c r="H62" s="2"/>
      <c r="I62" s="2"/>
      <c r="J62" s="2"/>
      <c r="K62" s="2"/>
      <c r="L62" s="2"/>
    </row>
    <row r="63" spans="1:12" x14ac:dyDescent="0.3">
      <c r="B63" s="133"/>
      <c r="D63" s="77" t="s">
        <v>21</v>
      </c>
      <c r="E63" s="78"/>
      <c r="F63" s="79" t="s">
        <v>19</v>
      </c>
    </row>
    <row r="64" spans="1:12" x14ac:dyDescent="0.3">
      <c r="B64" s="122" t="s">
        <v>82</v>
      </c>
      <c r="C64" s="122"/>
      <c r="D64" s="65">
        <f>G12</f>
        <v>0</v>
      </c>
      <c r="E64" s="75"/>
      <c r="F64" s="80">
        <f>G11</f>
        <v>0</v>
      </c>
    </row>
    <row r="65" spans="2:6" x14ac:dyDescent="0.3">
      <c r="B65" s="124" t="s">
        <v>83</v>
      </c>
      <c r="C65" s="125"/>
      <c r="D65" s="65">
        <f>E61</f>
        <v>1220.4238</v>
      </c>
      <c r="E65" s="75"/>
      <c r="F65" s="80">
        <f>E60</f>
        <v>1170.115</v>
      </c>
    </row>
    <row r="66" spans="2:6" x14ac:dyDescent="0.3">
      <c r="B66" s="66" t="s">
        <v>79</v>
      </c>
      <c r="C66" s="66"/>
      <c r="D66" s="67">
        <f>SUM(D64:D65)</f>
        <v>1220.4238</v>
      </c>
      <c r="E66" s="78"/>
      <c r="F66" s="81">
        <f>SUM(F64:F65)</f>
        <v>1170.115</v>
      </c>
    </row>
    <row r="67" spans="2:6" x14ac:dyDescent="0.3">
      <c r="D67" s="82"/>
      <c r="E67" s="1"/>
      <c r="F67" s="71"/>
    </row>
    <row r="68" spans="2:6" x14ac:dyDescent="0.3">
      <c r="D68" s="68">
        <f>D66/A55</f>
        <v>14.357927058823529</v>
      </c>
      <c r="E68" s="1"/>
      <c r="F68" s="68">
        <f>F66/A55</f>
        <v>13.766058823529411</v>
      </c>
    </row>
    <row r="75" spans="2:6" x14ac:dyDescent="0.3">
      <c r="D75" s="43"/>
    </row>
    <row r="76" spans="2:6" x14ac:dyDescent="0.3">
      <c r="D76" s="43"/>
    </row>
    <row r="77" spans="2:6" x14ac:dyDescent="0.3">
      <c r="D77" s="43"/>
    </row>
    <row r="78" spans="2:6" x14ac:dyDescent="0.3">
      <c r="D78" s="43"/>
    </row>
    <row r="79" spans="2:6" x14ac:dyDescent="0.3">
      <c r="D79" s="43"/>
    </row>
  </sheetData>
  <mergeCells count="14">
    <mergeCell ref="B64:C64"/>
    <mergeCell ref="B65:C65"/>
    <mergeCell ref="D11:E11"/>
    <mergeCell ref="D12:E12"/>
    <mergeCell ref="C54:F54"/>
    <mergeCell ref="C55:F55"/>
    <mergeCell ref="C56:F56"/>
    <mergeCell ref="B61:B63"/>
    <mergeCell ref="L6:L7"/>
    <mergeCell ref="A1:F1"/>
    <mergeCell ref="A2:F2"/>
    <mergeCell ref="A3:F3"/>
    <mergeCell ref="A4:F4"/>
    <mergeCell ref="J6:K6"/>
  </mergeCells>
  <pageMargins left="0.31496062992125984" right="0.11811023622047245" top="0.35433070866141736" bottom="0.15748031496062992" header="0.31496062992125984" footer="0.31496062992125984"/>
  <pageSetup paperSize="9" scale="95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C841B-9F28-4ECA-9CDE-DA57620421EA}">
  <dimension ref="A1:N85"/>
  <sheetViews>
    <sheetView workbookViewId="0">
      <selection activeCell="B27" sqref="B27:N27"/>
    </sheetView>
  </sheetViews>
  <sheetFormatPr defaultRowHeight="14.4" x14ac:dyDescent="0.3"/>
  <cols>
    <col min="1" max="1" width="9.88671875" bestFit="1" customWidth="1"/>
    <col min="2" max="2" width="46.44140625" bestFit="1" customWidth="1"/>
    <col min="3" max="3" width="13.109375" bestFit="1" customWidth="1"/>
    <col min="4" max="4" width="10.33203125" bestFit="1" customWidth="1"/>
    <col min="5" max="5" width="8.21875" bestFit="1" customWidth="1"/>
    <col min="6" max="6" width="8.5546875" bestFit="1" customWidth="1"/>
    <col min="7" max="7" width="9.6640625" style="43" customWidth="1"/>
    <col min="8" max="8" width="7.88671875" bestFit="1" customWidth="1"/>
    <col min="9" max="9" width="10.44140625" bestFit="1" customWidth="1"/>
    <col min="10" max="10" width="5.44140625" bestFit="1" customWidth="1"/>
    <col min="11" max="11" width="9.44140625" bestFit="1" customWidth="1"/>
    <col min="12" max="12" width="10.44140625" bestFit="1" customWidth="1"/>
    <col min="13" max="13" width="5" bestFit="1" customWidth="1"/>
    <col min="14" max="14" width="7" bestFit="1" customWidth="1"/>
  </cols>
  <sheetData>
    <row r="1" spans="1:12" x14ac:dyDescent="0.3">
      <c r="A1" s="114" t="s">
        <v>0</v>
      </c>
      <c r="B1" s="115"/>
      <c r="C1" s="115"/>
      <c r="D1" s="115"/>
      <c r="E1" s="115"/>
      <c r="F1" s="115"/>
      <c r="G1" s="1"/>
      <c r="H1" s="2"/>
      <c r="I1" s="2"/>
      <c r="J1" s="2"/>
      <c r="K1" s="2"/>
      <c r="L1" s="2"/>
    </row>
    <row r="2" spans="1:12" x14ac:dyDescent="0.3">
      <c r="A2" s="114" t="s">
        <v>1</v>
      </c>
      <c r="B2" s="115"/>
      <c r="C2" s="115"/>
      <c r="D2" s="115"/>
      <c r="E2" s="115"/>
      <c r="F2" s="115"/>
      <c r="G2" s="1"/>
      <c r="H2" s="2"/>
      <c r="I2" s="2"/>
      <c r="J2" s="2"/>
      <c r="K2" s="2"/>
      <c r="L2" s="2"/>
    </row>
    <row r="3" spans="1:12" ht="18" x14ac:dyDescent="0.35">
      <c r="A3" s="116" t="s">
        <v>182</v>
      </c>
      <c r="B3" s="116"/>
      <c r="C3" s="116"/>
      <c r="D3" s="116"/>
      <c r="E3" s="116"/>
      <c r="F3" s="116"/>
      <c r="G3" s="3"/>
      <c r="H3" s="4"/>
      <c r="I3" s="4"/>
      <c r="J3" s="4"/>
      <c r="K3" s="4"/>
      <c r="L3" s="4"/>
    </row>
    <row r="4" spans="1:12" x14ac:dyDescent="0.3">
      <c r="G4" s="1"/>
      <c r="H4" s="2"/>
      <c r="I4" s="2"/>
      <c r="J4" s="2"/>
      <c r="K4" s="2"/>
      <c r="L4" s="2"/>
    </row>
    <row r="5" spans="1:12" ht="21" x14ac:dyDescent="0.4">
      <c r="A5" s="128" t="s">
        <v>2</v>
      </c>
      <c r="B5" s="129"/>
      <c r="C5" s="129"/>
      <c r="D5" s="129"/>
      <c r="E5" s="129"/>
      <c r="F5" s="129"/>
      <c r="G5" s="1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1"/>
      <c r="H6" s="2"/>
      <c r="I6" s="2"/>
      <c r="J6" s="2"/>
      <c r="K6" s="2"/>
      <c r="L6" s="2"/>
    </row>
    <row r="7" spans="1:12" ht="24" x14ac:dyDescent="0.3">
      <c r="A7" s="5" t="s">
        <v>3</v>
      </c>
      <c r="B7" s="6" t="s">
        <v>4</v>
      </c>
      <c r="C7" s="7" t="s">
        <v>5</v>
      </c>
      <c r="D7" s="7" t="s">
        <v>6</v>
      </c>
      <c r="E7" s="7" t="s">
        <v>7</v>
      </c>
      <c r="F7" s="6" t="s">
        <v>8</v>
      </c>
      <c r="G7" s="7" t="s">
        <v>9</v>
      </c>
      <c r="H7" s="8" t="s">
        <v>10</v>
      </c>
      <c r="I7" s="7" t="s">
        <v>11</v>
      </c>
      <c r="J7" s="117" t="s">
        <v>12</v>
      </c>
      <c r="K7" s="118"/>
      <c r="L7" s="119" t="s">
        <v>13</v>
      </c>
    </row>
    <row r="8" spans="1:12" x14ac:dyDescent="0.3">
      <c r="A8" s="9" t="s">
        <v>14</v>
      </c>
      <c r="B8" s="99"/>
      <c r="C8" s="10"/>
      <c r="D8" s="10"/>
      <c r="E8" s="10"/>
      <c r="F8" s="9"/>
      <c r="G8" s="10"/>
      <c r="H8" s="10"/>
      <c r="I8" s="10"/>
      <c r="J8" s="10" t="s">
        <v>15</v>
      </c>
      <c r="K8" s="11" t="s">
        <v>11</v>
      </c>
      <c r="L8" s="119"/>
    </row>
    <row r="9" spans="1:12" x14ac:dyDescent="0.3">
      <c r="A9" s="12"/>
      <c r="B9" s="99" t="s">
        <v>172</v>
      </c>
      <c r="C9" s="10" t="s">
        <v>119</v>
      </c>
      <c r="D9" s="14" t="s">
        <v>17</v>
      </c>
      <c r="E9" s="15">
        <v>135</v>
      </c>
      <c r="F9" s="15">
        <f>E9*F11</f>
        <v>135</v>
      </c>
      <c r="G9" s="14">
        <v>9.5</v>
      </c>
      <c r="H9" s="16">
        <f>F9*G9</f>
        <v>1282.5</v>
      </c>
      <c r="I9" s="17">
        <f>F9*G9</f>
        <v>1282.5</v>
      </c>
      <c r="J9" s="18">
        <v>0.12</v>
      </c>
      <c r="K9" s="19">
        <f>I9*J9</f>
        <v>153.9</v>
      </c>
      <c r="L9" s="15">
        <f>I9+K9</f>
        <v>1436.4</v>
      </c>
    </row>
    <row r="10" spans="1:12" x14ac:dyDescent="0.3">
      <c r="A10" s="12"/>
      <c r="B10" s="99"/>
      <c r="C10" s="20"/>
      <c r="D10" s="14"/>
      <c r="E10" s="15"/>
      <c r="F10" s="15"/>
      <c r="G10" s="14"/>
      <c r="H10" s="16"/>
      <c r="I10" s="17"/>
      <c r="J10" s="18"/>
      <c r="K10" s="19"/>
      <c r="L10" s="15"/>
    </row>
    <row r="11" spans="1:12" ht="18" x14ac:dyDescent="0.3">
      <c r="A11" s="21"/>
      <c r="B11" s="13" t="s">
        <v>157</v>
      </c>
      <c r="E11" s="23"/>
      <c r="F11" s="24">
        <v>1</v>
      </c>
      <c r="G11" s="23"/>
      <c r="H11" s="25">
        <f>SUM(H9:H10)</f>
        <v>1282.5</v>
      </c>
      <c r="I11" s="26">
        <f>SUM(I9:I10)</f>
        <v>1282.5</v>
      </c>
      <c r="J11" s="27"/>
      <c r="K11" s="28">
        <f>SUM(K9:K10)</f>
        <v>153.9</v>
      </c>
      <c r="L11" s="29">
        <f>SUM(L9:L10)</f>
        <v>1436.4</v>
      </c>
    </row>
    <row r="12" spans="1:12" x14ac:dyDescent="0.3">
      <c r="A12" s="12"/>
      <c r="B12" s="12"/>
      <c r="C12" s="14"/>
      <c r="D12" s="120" t="s">
        <v>19</v>
      </c>
      <c r="E12" s="121"/>
      <c r="F12" s="35" t="s">
        <v>20</v>
      </c>
      <c r="G12" s="36">
        <f>I11/F11</f>
        <v>1282.5</v>
      </c>
      <c r="H12" s="37"/>
      <c r="I12" s="38"/>
      <c r="J12" s="39"/>
      <c r="K12" s="40"/>
      <c r="L12" s="41"/>
    </row>
    <row r="13" spans="1:12" x14ac:dyDescent="0.3">
      <c r="A13" s="12"/>
      <c r="B13" s="12"/>
      <c r="C13" s="14"/>
      <c r="D13" s="120" t="s">
        <v>21</v>
      </c>
      <c r="E13" s="121"/>
      <c r="F13" s="35" t="s">
        <v>20</v>
      </c>
      <c r="G13" s="36">
        <f>L11/F11</f>
        <v>1436.4</v>
      </c>
      <c r="H13" s="37"/>
      <c r="I13" s="38"/>
      <c r="J13" s="39"/>
      <c r="K13" s="40"/>
      <c r="L13" s="41"/>
    </row>
    <row r="14" spans="1:12" x14ac:dyDescent="0.3">
      <c r="A14" s="9" t="s">
        <v>22</v>
      </c>
      <c r="B14" s="42"/>
      <c r="C14" s="14"/>
      <c r="D14" s="14"/>
      <c r="E14" s="14"/>
      <c r="F14" s="41"/>
      <c r="G14" s="14"/>
      <c r="H14" s="37"/>
      <c r="I14" s="38"/>
      <c r="J14" s="39"/>
      <c r="K14" s="40"/>
      <c r="L14" s="41"/>
    </row>
    <row r="15" spans="1:12" x14ac:dyDescent="0.3">
      <c r="A15" s="9"/>
      <c r="B15" s="42" t="s">
        <v>158</v>
      </c>
      <c r="C15" s="14" t="s">
        <v>159</v>
      </c>
      <c r="D15" s="14" t="s">
        <v>24</v>
      </c>
      <c r="E15" s="14">
        <v>0.5</v>
      </c>
      <c r="F15" s="41">
        <f>E15*F11</f>
        <v>0.5</v>
      </c>
      <c r="G15" s="14">
        <v>100</v>
      </c>
      <c r="H15" s="37">
        <f>E15*G15</f>
        <v>50</v>
      </c>
      <c r="I15" s="38">
        <f>F15*G15</f>
        <v>50</v>
      </c>
      <c r="J15" s="39">
        <v>0.12</v>
      </c>
      <c r="K15" s="40">
        <f>I15*J15</f>
        <v>6</v>
      </c>
      <c r="L15" s="41">
        <f>I15+K15</f>
        <v>56</v>
      </c>
    </row>
    <row r="16" spans="1:12" x14ac:dyDescent="0.3">
      <c r="A16" s="9"/>
      <c r="B16" s="42" t="s">
        <v>171</v>
      </c>
      <c r="C16" s="14" t="s">
        <v>164</v>
      </c>
      <c r="D16" s="14" t="s">
        <v>43</v>
      </c>
      <c r="E16" s="14">
        <v>1</v>
      </c>
      <c r="F16" s="41">
        <f>E16*F11</f>
        <v>1</v>
      </c>
      <c r="G16" s="14">
        <v>1000</v>
      </c>
      <c r="H16" s="37">
        <f>E16*G16</f>
        <v>1000</v>
      </c>
      <c r="I16" s="38">
        <f>F16*G16</f>
        <v>1000</v>
      </c>
      <c r="J16" s="39">
        <v>0.12</v>
      </c>
      <c r="K16" s="40">
        <f>I16*J16</f>
        <v>120</v>
      </c>
      <c r="L16" s="41">
        <f>I16+K16</f>
        <v>1120</v>
      </c>
    </row>
    <row r="17" spans="1:14" x14ac:dyDescent="0.3">
      <c r="A17" s="9"/>
      <c r="B17" s="42"/>
      <c r="C17" s="14"/>
      <c r="D17" s="14"/>
      <c r="E17" s="14"/>
      <c r="F17" s="41"/>
      <c r="G17" s="14"/>
      <c r="H17" s="37"/>
      <c r="I17" s="38"/>
      <c r="J17" s="39"/>
      <c r="K17" s="40"/>
      <c r="L17" s="41"/>
    </row>
    <row r="18" spans="1:14" x14ac:dyDescent="0.3">
      <c r="A18" s="9"/>
      <c r="B18" s="42"/>
      <c r="C18" s="14"/>
      <c r="D18" s="14"/>
      <c r="E18" s="14"/>
      <c r="F18" s="41"/>
      <c r="G18" s="14"/>
      <c r="H18" s="37"/>
      <c r="I18" s="38"/>
      <c r="J18" s="39"/>
      <c r="K18" s="40"/>
      <c r="L18" s="41"/>
    </row>
    <row r="19" spans="1:14" x14ac:dyDescent="0.3">
      <c r="A19" s="9" t="s">
        <v>26</v>
      </c>
      <c r="B19" s="12" t="s">
        <v>27</v>
      </c>
      <c r="C19" s="14" t="str">
        <f>C9</f>
        <v>CHOCOLATE</v>
      </c>
      <c r="D19" s="14" t="s">
        <v>28</v>
      </c>
      <c r="E19" s="14">
        <v>100</v>
      </c>
      <c r="F19" s="41">
        <f>E19*F11</f>
        <v>100</v>
      </c>
      <c r="G19" s="14">
        <v>125</v>
      </c>
      <c r="H19" s="37">
        <f>F19/1000*G19/F11</f>
        <v>12.5</v>
      </c>
      <c r="I19" s="38">
        <f>F19/1000*G19</f>
        <v>12.5</v>
      </c>
      <c r="J19" s="39">
        <v>0.12</v>
      </c>
      <c r="K19" s="40">
        <f>I19*J19</f>
        <v>1.5</v>
      </c>
      <c r="L19" s="41">
        <f>I19+K19</f>
        <v>14</v>
      </c>
    </row>
    <row r="20" spans="1:14" x14ac:dyDescent="0.3">
      <c r="A20" s="9"/>
      <c r="B20" s="12" t="s">
        <v>29</v>
      </c>
      <c r="C20" s="14" t="str">
        <f>C9</f>
        <v>CHOCOLATE</v>
      </c>
      <c r="D20" s="14" t="s">
        <v>28</v>
      </c>
      <c r="E20" s="14">
        <v>100</v>
      </c>
      <c r="F20" s="41">
        <f>E20*F11</f>
        <v>100</v>
      </c>
      <c r="G20" s="14">
        <v>257</v>
      </c>
      <c r="H20" s="37">
        <f>F20/5000*G20/F11</f>
        <v>5.14</v>
      </c>
      <c r="I20" s="38">
        <f>H20*F11</f>
        <v>5.14</v>
      </c>
      <c r="J20" s="39">
        <v>0.12</v>
      </c>
      <c r="K20" s="40">
        <f>I20*J20</f>
        <v>0.6167999999999999</v>
      </c>
      <c r="L20" s="41">
        <f>I20+K20</f>
        <v>5.7567999999999993</v>
      </c>
    </row>
    <row r="21" spans="1:14" x14ac:dyDescent="0.3">
      <c r="A21" s="9"/>
      <c r="B21" s="12" t="s">
        <v>30</v>
      </c>
      <c r="C21" s="14" t="str">
        <f>C9</f>
        <v>CHOCOLATE</v>
      </c>
      <c r="D21" s="14" t="s">
        <v>28</v>
      </c>
      <c r="E21" s="14">
        <v>50</v>
      </c>
      <c r="F21" s="41">
        <f>E21*F11</f>
        <v>50</v>
      </c>
      <c r="G21" s="14">
        <v>162</v>
      </c>
      <c r="H21" s="37">
        <f>F21/1000*G21/F11</f>
        <v>8.1</v>
      </c>
      <c r="I21" s="38">
        <f>F21/1000*G21</f>
        <v>8.1</v>
      </c>
      <c r="J21" s="39">
        <v>0.12</v>
      </c>
      <c r="K21" s="40">
        <f>I21*J21</f>
        <v>0.97199999999999998</v>
      </c>
      <c r="L21" s="41">
        <f>I21+K21</f>
        <v>9.0719999999999992</v>
      </c>
    </row>
    <row r="22" spans="1:14" x14ac:dyDescent="0.3">
      <c r="A22" s="9"/>
      <c r="B22" s="12"/>
      <c r="C22" s="14"/>
      <c r="D22" s="14"/>
      <c r="E22" s="14"/>
      <c r="F22" s="41"/>
      <c r="G22" s="14"/>
      <c r="H22" s="37"/>
      <c r="I22" s="38"/>
      <c r="J22" s="39"/>
      <c r="K22" s="40"/>
      <c r="L22" s="41"/>
    </row>
    <row r="23" spans="1:14" x14ac:dyDescent="0.3">
      <c r="A23" s="9" t="s">
        <v>31</v>
      </c>
      <c r="B23" s="12" t="s">
        <v>32</v>
      </c>
      <c r="C23" s="14" t="s">
        <v>33</v>
      </c>
      <c r="D23" s="14" t="s">
        <v>34</v>
      </c>
      <c r="E23" s="14">
        <v>1</v>
      </c>
      <c r="F23" s="41">
        <f>E23*F11</f>
        <v>1</v>
      </c>
      <c r="G23" s="14">
        <v>16</v>
      </c>
      <c r="H23" s="37">
        <f>E23*G23</f>
        <v>16</v>
      </c>
      <c r="I23" s="38">
        <f>F23*G23</f>
        <v>16</v>
      </c>
      <c r="J23" s="39">
        <v>0.18</v>
      </c>
      <c r="K23" s="40">
        <f>I23*J23</f>
        <v>2.88</v>
      </c>
      <c r="L23" s="41">
        <f>I23+K23</f>
        <v>18.88</v>
      </c>
    </row>
    <row r="24" spans="1:14" x14ac:dyDescent="0.3">
      <c r="A24" s="9"/>
      <c r="B24" s="12" t="s">
        <v>35</v>
      </c>
      <c r="C24" s="14" t="s">
        <v>36</v>
      </c>
      <c r="D24" s="14" t="s">
        <v>37</v>
      </c>
      <c r="E24" s="14">
        <v>0.15</v>
      </c>
      <c r="F24" s="41">
        <f>E24*F11</f>
        <v>0.15</v>
      </c>
      <c r="G24" s="14">
        <v>88</v>
      </c>
      <c r="H24" s="37">
        <f>E24*G24</f>
        <v>13.2</v>
      </c>
      <c r="I24" s="38">
        <f>F24*G24</f>
        <v>13.2</v>
      </c>
      <c r="J24" s="39">
        <v>0.18</v>
      </c>
      <c r="K24" s="40">
        <f>I24*J24</f>
        <v>2.3759999999999999</v>
      </c>
      <c r="L24" s="41">
        <f>I24+K24</f>
        <v>15.575999999999999</v>
      </c>
    </row>
    <row r="25" spans="1:14" x14ac:dyDescent="0.3">
      <c r="A25" s="9"/>
      <c r="B25" s="12" t="s">
        <v>38</v>
      </c>
      <c r="C25" s="14" t="s">
        <v>39</v>
      </c>
      <c r="D25" s="14" t="s">
        <v>34</v>
      </c>
      <c r="E25" s="14">
        <v>3.75</v>
      </c>
      <c r="F25" s="41">
        <f>E25*F11</f>
        <v>3.75</v>
      </c>
      <c r="G25" s="14">
        <v>0.6875</v>
      </c>
      <c r="H25" s="37">
        <f>E25*G25</f>
        <v>2.578125</v>
      </c>
      <c r="I25" s="38">
        <f>F25*G25</f>
        <v>2.578125</v>
      </c>
      <c r="J25" s="39">
        <v>0.18</v>
      </c>
      <c r="K25" s="40">
        <f>I25*J25</f>
        <v>0.46406249999999999</v>
      </c>
      <c r="L25" s="41">
        <f>I25+K25</f>
        <v>3.0421874999999998</v>
      </c>
    </row>
    <row r="26" spans="1:14" x14ac:dyDescent="0.3">
      <c r="A26" s="9"/>
      <c r="B26" s="12"/>
      <c r="C26" s="14"/>
      <c r="D26" s="14"/>
      <c r="E26" s="14"/>
      <c r="F26" s="41"/>
      <c r="G26" s="14"/>
      <c r="H26" s="37"/>
      <c r="I26" s="38"/>
      <c r="J26" s="39"/>
      <c r="K26" s="40"/>
      <c r="L26" s="41"/>
    </row>
    <row r="27" spans="1:14" x14ac:dyDescent="0.3">
      <c r="A27" s="9"/>
      <c r="B27" s="12" t="s">
        <v>197</v>
      </c>
      <c r="C27" s="14" t="str">
        <f>C9</f>
        <v>CHOCOLATE</v>
      </c>
      <c r="D27" s="14" t="s">
        <v>43</v>
      </c>
      <c r="E27" s="14">
        <v>1</v>
      </c>
      <c r="F27" s="41">
        <f>E27*F11</f>
        <v>1</v>
      </c>
      <c r="G27" s="14">
        <v>165</v>
      </c>
      <c r="H27" s="37">
        <f t="shared" ref="H27" si="0">E27*G27</f>
        <v>165</v>
      </c>
      <c r="I27" s="38">
        <f t="shared" ref="I27" si="1">F27*G27</f>
        <v>165</v>
      </c>
      <c r="J27" s="39">
        <v>0.18</v>
      </c>
      <c r="K27" s="40">
        <f t="shared" ref="K27" si="2">I27*J27</f>
        <v>29.7</v>
      </c>
      <c r="L27" s="41">
        <f t="shared" ref="L27" si="3">I27+K27</f>
        <v>194.7</v>
      </c>
      <c r="M27">
        <v>1.9</v>
      </c>
      <c r="N27">
        <f>M27*85</f>
        <v>161.5</v>
      </c>
    </row>
    <row r="28" spans="1:14" x14ac:dyDescent="0.3">
      <c r="A28" s="9"/>
      <c r="B28" s="12"/>
      <c r="C28" s="14"/>
      <c r="D28" s="14"/>
      <c r="E28" s="14"/>
      <c r="F28" s="41"/>
      <c r="G28" s="14"/>
      <c r="H28" s="37"/>
      <c r="I28" s="38"/>
      <c r="J28" s="39"/>
      <c r="K28" s="40"/>
      <c r="L28" s="41"/>
    </row>
    <row r="29" spans="1:14" x14ac:dyDescent="0.3">
      <c r="A29" s="9"/>
      <c r="B29" s="12" t="s">
        <v>160</v>
      </c>
      <c r="C29" s="14" t="str">
        <f>C9</f>
        <v>CHOCOLATE</v>
      </c>
      <c r="D29" s="14" t="s">
        <v>43</v>
      </c>
      <c r="E29" s="14">
        <v>1</v>
      </c>
      <c r="F29" s="41">
        <f>E29*F11</f>
        <v>1</v>
      </c>
      <c r="G29" s="14">
        <v>15</v>
      </c>
      <c r="H29" s="37">
        <f t="shared" ref="H29:H32" si="4">E29*G29</f>
        <v>15</v>
      </c>
      <c r="I29" s="38">
        <f t="shared" ref="I29:I32" si="5">F29*G29</f>
        <v>15</v>
      </c>
      <c r="J29" s="39">
        <v>0.18</v>
      </c>
      <c r="K29" s="40">
        <f t="shared" ref="K29:K32" si="6">I29*J29</f>
        <v>2.6999999999999997</v>
      </c>
      <c r="L29" s="41">
        <f t="shared" ref="L29:L32" si="7">I29+K29</f>
        <v>17.7</v>
      </c>
    </row>
    <row r="30" spans="1:14" x14ac:dyDescent="0.3">
      <c r="A30" s="12"/>
      <c r="B30" s="12" t="s">
        <v>161</v>
      </c>
      <c r="C30" s="14" t="s">
        <v>162</v>
      </c>
      <c r="D30" s="14" t="s">
        <v>43</v>
      </c>
      <c r="E30" s="14">
        <v>7</v>
      </c>
      <c r="F30" s="41">
        <f>E30*F11</f>
        <v>7</v>
      </c>
      <c r="G30" s="14">
        <v>7</v>
      </c>
      <c r="H30" s="37">
        <f t="shared" si="4"/>
        <v>49</v>
      </c>
      <c r="I30" s="38">
        <f t="shared" si="5"/>
        <v>49</v>
      </c>
      <c r="J30" s="39">
        <v>0.18</v>
      </c>
      <c r="K30" s="40">
        <f t="shared" si="6"/>
        <v>8.82</v>
      </c>
      <c r="L30" s="41">
        <f t="shared" si="7"/>
        <v>57.82</v>
      </c>
    </row>
    <row r="31" spans="1:14" x14ac:dyDescent="0.3">
      <c r="A31" s="12"/>
      <c r="B31" s="12" t="s">
        <v>163</v>
      </c>
      <c r="C31" s="14" t="s">
        <v>164</v>
      </c>
      <c r="D31" s="14" t="s">
        <v>34</v>
      </c>
      <c r="E31" s="14">
        <v>2</v>
      </c>
      <c r="F31" s="41">
        <f>E31*F11</f>
        <v>2</v>
      </c>
      <c r="G31" s="14">
        <v>20</v>
      </c>
      <c r="H31" s="37">
        <f t="shared" si="4"/>
        <v>40</v>
      </c>
      <c r="I31" s="38">
        <f t="shared" si="5"/>
        <v>40</v>
      </c>
      <c r="J31" s="39">
        <v>0.18</v>
      </c>
      <c r="K31" s="40">
        <f t="shared" si="6"/>
        <v>7.1999999999999993</v>
      </c>
      <c r="L31" s="41">
        <f t="shared" si="7"/>
        <v>47.2</v>
      </c>
    </row>
    <row r="32" spans="1:14" x14ac:dyDescent="0.3">
      <c r="A32" s="12"/>
      <c r="B32" s="12" t="s">
        <v>165</v>
      </c>
      <c r="C32" s="14" t="s">
        <v>164</v>
      </c>
      <c r="D32" s="14" t="s">
        <v>166</v>
      </c>
      <c r="E32" s="14">
        <v>0</v>
      </c>
      <c r="F32" s="41">
        <f>E32*F11</f>
        <v>0</v>
      </c>
      <c r="G32" s="14">
        <v>3</v>
      </c>
      <c r="H32" s="37">
        <f t="shared" si="4"/>
        <v>0</v>
      </c>
      <c r="I32" s="38">
        <f t="shared" si="5"/>
        <v>0</v>
      </c>
      <c r="J32" s="39">
        <v>0.18</v>
      </c>
      <c r="K32" s="40">
        <f t="shared" si="6"/>
        <v>0</v>
      </c>
      <c r="L32" s="41">
        <f t="shared" si="7"/>
        <v>0</v>
      </c>
    </row>
    <row r="33" spans="1:12" x14ac:dyDescent="0.3">
      <c r="A33" s="12"/>
      <c r="B33" s="12"/>
      <c r="C33" s="14"/>
      <c r="D33" s="14"/>
      <c r="E33" s="14"/>
      <c r="F33" s="12"/>
      <c r="G33" s="14"/>
      <c r="H33" s="37"/>
      <c r="I33" s="38"/>
      <c r="J33" s="39"/>
      <c r="K33" s="40"/>
      <c r="L33" s="41"/>
    </row>
    <row r="34" spans="1:12" x14ac:dyDescent="0.3">
      <c r="A34" s="12" t="s">
        <v>47</v>
      </c>
      <c r="B34" s="12" t="s">
        <v>167</v>
      </c>
      <c r="C34" s="14" t="s">
        <v>36</v>
      </c>
      <c r="D34" s="14" t="s">
        <v>43</v>
      </c>
      <c r="E34" s="14">
        <v>1</v>
      </c>
      <c r="F34" s="41">
        <f>E34*F11</f>
        <v>1</v>
      </c>
      <c r="G34" s="14">
        <v>12</v>
      </c>
      <c r="H34" s="37">
        <f>E34*G34</f>
        <v>12</v>
      </c>
      <c r="I34" s="38">
        <f>F34*G34</f>
        <v>12</v>
      </c>
      <c r="J34" s="39">
        <v>0.12</v>
      </c>
      <c r="K34" s="40">
        <f>I34*J34</f>
        <v>1.44</v>
      </c>
      <c r="L34" s="41">
        <f>I34+K34</f>
        <v>13.44</v>
      </c>
    </row>
    <row r="35" spans="1:12" x14ac:dyDescent="0.3">
      <c r="A35" s="12"/>
      <c r="B35" s="12" t="s">
        <v>168</v>
      </c>
      <c r="C35" s="14" t="s">
        <v>36</v>
      </c>
      <c r="D35" s="14" t="s">
        <v>43</v>
      </c>
      <c r="E35" s="14">
        <v>1</v>
      </c>
      <c r="F35" s="41">
        <f>E35*F11</f>
        <v>1</v>
      </c>
      <c r="G35" s="14">
        <v>7</v>
      </c>
      <c r="H35" s="37">
        <f>E35*G35</f>
        <v>7</v>
      </c>
      <c r="I35" s="38">
        <f>F35*G35</f>
        <v>7</v>
      </c>
      <c r="J35" s="39">
        <v>0.12</v>
      </c>
      <c r="K35" s="40">
        <f>I35*J35</f>
        <v>0.84</v>
      </c>
      <c r="L35" s="41">
        <f>I35+K35</f>
        <v>7.84</v>
      </c>
    </row>
    <row r="36" spans="1:12" x14ac:dyDescent="0.3">
      <c r="A36" s="12"/>
      <c r="B36" s="12" t="s">
        <v>169</v>
      </c>
      <c r="C36" s="14" t="s">
        <v>36</v>
      </c>
      <c r="D36" s="14" t="s">
        <v>43</v>
      </c>
      <c r="E36" s="14">
        <v>1</v>
      </c>
      <c r="F36" s="41">
        <f>E36*F11</f>
        <v>1</v>
      </c>
      <c r="G36" s="14">
        <v>4</v>
      </c>
      <c r="H36" s="37">
        <f>E36*G36</f>
        <v>4</v>
      </c>
      <c r="I36" s="38">
        <f>F36*G36</f>
        <v>4</v>
      </c>
      <c r="J36" s="39">
        <v>0.12</v>
      </c>
      <c r="K36" s="40">
        <f>I36*J36</f>
        <v>0.48</v>
      </c>
      <c r="L36" s="41">
        <f>I36+K36</f>
        <v>4.4800000000000004</v>
      </c>
    </row>
    <row r="37" spans="1:12" x14ac:dyDescent="0.3">
      <c r="A37" s="12"/>
      <c r="B37" s="12" t="s">
        <v>49</v>
      </c>
      <c r="C37" s="14" t="s">
        <v>36</v>
      </c>
      <c r="D37" s="14" t="s">
        <v>43</v>
      </c>
      <c r="E37" s="14">
        <v>1</v>
      </c>
      <c r="F37" s="41">
        <f>E37*F11</f>
        <v>1</v>
      </c>
      <c r="G37" s="14">
        <v>3.5</v>
      </c>
      <c r="H37" s="37">
        <f>E37*G37</f>
        <v>3.5</v>
      </c>
      <c r="I37" s="38">
        <f>F37*G37</f>
        <v>3.5</v>
      </c>
      <c r="J37" s="39">
        <v>0.12</v>
      </c>
      <c r="K37" s="40">
        <f>I37*J37</f>
        <v>0.42</v>
      </c>
      <c r="L37" s="41">
        <f>I37+K37</f>
        <v>3.92</v>
      </c>
    </row>
    <row r="38" spans="1:12" x14ac:dyDescent="0.3">
      <c r="A38" s="9"/>
      <c r="B38" s="12" t="s">
        <v>50</v>
      </c>
      <c r="C38" s="14" t="s">
        <v>36</v>
      </c>
      <c r="D38" s="14" t="s">
        <v>43</v>
      </c>
      <c r="E38" s="14">
        <v>1</v>
      </c>
      <c r="F38" s="41">
        <f>E38*F11</f>
        <v>1</v>
      </c>
      <c r="G38" s="14">
        <v>4</v>
      </c>
      <c r="H38" s="37">
        <v>4</v>
      </c>
      <c r="I38" s="38">
        <f>F38*G38</f>
        <v>4</v>
      </c>
      <c r="J38" s="39">
        <v>0.12</v>
      </c>
      <c r="K38" s="40">
        <f>I38*J38</f>
        <v>0.48</v>
      </c>
      <c r="L38" s="41">
        <f>I38+K38</f>
        <v>4.4800000000000004</v>
      </c>
    </row>
    <row r="39" spans="1:12" x14ac:dyDescent="0.3">
      <c r="A39" s="9"/>
      <c r="B39" s="12"/>
      <c r="C39" s="14"/>
      <c r="D39" s="14"/>
      <c r="E39" s="14"/>
      <c r="F39" s="41"/>
      <c r="G39" s="14"/>
      <c r="H39" s="12"/>
      <c r="I39" s="41"/>
      <c r="J39" s="39"/>
      <c r="K39" s="41"/>
      <c r="L39" s="41"/>
    </row>
    <row r="40" spans="1:12" ht="21.6" x14ac:dyDescent="0.3">
      <c r="A40" s="100" t="s">
        <v>51</v>
      </c>
      <c r="B40" s="21" t="s">
        <v>52</v>
      </c>
      <c r="C40" s="23" t="s">
        <v>36</v>
      </c>
      <c r="D40" s="23" t="s">
        <v>43</v>
      </c>
      <c r="E40" s="23">
        <v>1</v>
      </c>
      <c r="F40" s="45">
        <f>F11*E40</f>
        <v>1</v>
      </c>
      <c r="G40" s="23">
        <v>12</v>
      </c>
      <c r="H40" s="46">
        <f t="shared" ref="H40:H45" si="8">E40*G40</f>
        <v>12</v>
      </c>
      <c r="I40" s="47">
        <f t="shared" ref="I40:I44" si="9">F40*G40</f>
        <v>12</v>
      </c>
      <c r="J40" s="48">
        <v>0.18</v>
      </c>
      <c r="K40" s="49">
        <f t="shared" ref="K40:K45" si="10">I40*J40</f>
        <v>2.16</v>
      </c>
      <c r="L40" s="45">
        <f t="shared" ref="L40:L46" si="11">I40+K40</f>
        <v>14.16</v>
      </c>
    </row>
    <row r="41" spans="1:12" x14ac:dyDescent="0.3">
      <c r="A41" s="12"/>
      <c r="B41" s="12" t="s">
        <v>53</v>
      </c>
      <c r="C41" s="14" t="s">
        <v>36</v>
      </c>
      <c r="D41" s="14" t="s">
        <v>43</v>
      </c>
      <c r="E41" s="14">
        <v>1</v>
      </c>
      <c r="F41" s="41">
        <f>E41*F11</f>
        <v>1</v>
      </c>
      <c r="G41" s="14">
        <v>0</v>
      </c>
      <c r="H41" s="37">
        <f t="shared" si="8"/>
        <v>0</v>
      </c>
      <c r="I41" s="38">
        <f t="shared" si="9"/>
        <v>0</v>
      </c>
      <c r="J41" s="39">
        <v>0.18</v>
      </c>
      <c r="K41" s="40">
        <f t="shared" si="10"/>
        <v>0</v>
      </c>
      <c r="L41" s="41">
        <f t="shared" si="11"/>
        <v>0</v>
      </c>
    </row>
    <row r="42" spans="1:12" x14ac:dyDescent="0.3">
      <c r="A42" s="12"/>
      <c r="B42" s="12" t="s">
        <v>54</v>
      </c>
      <c r="C42" s="14" t="s">
        <v>36</v>
      </c>
      <c r="D42" s="14" t="s">
        <v>55</v>
      </c>
      <c r="E42" s="14">
        <v>1</v>
      </c>
      <c r="F42" s="41">
        <f>E42*F11</f>
        <v>1</v>
      </c>
      <c r="G42" s="14">
        <v>12</v>
      </c>
      <c r="H42" s="37">
        <f t="shared" si="8"/>
        <v>12</v>
      </c>
      <c r="I42" s="38">
        <f t="shared" si="9"/>
        <v>12</v>
      </c>
      <c r="J42" s="39">
        <v>0.18</v>
      </c>
      <c r="K42" s="40">
        <f t="shared" si="10"/>
        <v>2.16</v>
      </c>
      <c r="L42" s="41">
        <f t="shared" si="11"/>
        <v>14.16</v>
      </c>
    </row>
    <row r="43" spans="1:12" x14ac:dyDescent="0.3">
      <c r="A43" s="12"/>
      <c r="B43" s="12" t="s">
        <v>56</v>
      </c>
      <c r="C43" s="14" t="s">
        <v>36</v>
      </c>
      <c r="D43" s="14" t="s">
        <v>55</v>
      </c>
      <c r="E43" s="14">
        <v>0.2</v>
      </c>
      <c r="F43" s="41">
        <f>E43*F11</f>
        <v>0.2</v>
      </c>
      <c r="G43" s="14">
        <v>115</v>
      </c>
      <c r="H43" s="37">
        <v>15</v>
      </c>
      <c r="I43" s="38">
        <f>H43*F11</f>
        <v>15</v>
      </c>
      <c r="J43" s="39">
        <v>0.18</v>
      </c>
      <c r="K43" s="40">
        <f t="shared" si="10"/>
        <v>2.6999999999999997</v>
      </c>
      <c r="L43" s="41">
        <f t="shared" si="11"/>
        <v>17.7</v>
      </c>
    </row>
    <row r="44" spans="1:12" x14ac:dyDescent="0.3">
      <c r="A44" s="12"/>
      <c r="B44" s="12" t="s">
        <v>57</v>
      </c>
      <c r="C44" s="14" t="s">
        <v>36</v>
      </c>
      <c r="D44" s="14" t="s">
        <v>58</v>
      </c>
      <c r="E44" s="14">
        <v>2</v>
      </c>
      <c r="F44" s="41">
        <f>E44*F11</f>
        <v>2</v>
      </c>
      <c r="G44" s="14">
        <v>1.35</v>
      </c>
      <c r="H44" s="37">
        <f t="shared" si="8"/>
        <v>2.7</v>
      </c>
      <c r="I44" s="38">
        <f t="shared" si="9"/>
        <v>2.7</v>
      </c>
      <c r="J44" s="39">
        <v>0.18</v>
      </c>
      <c r="K44" s="40">
        <f t="shared" si="10"/>
        <v>0.48599999999999999</v>
      </c>
      <c r="L44" s="41">
        <f t="shared" si="11"/>
        <v>3.1859999999999999</v>
      </c>
    </row>
    <row r="45" spans="1:12" x14ac:dyDescent="0.3">
      <c r="A45" s="12"/>
      <c r="B45" s="12" t="s">
        <v>59</v>
      </c>
      <c r="C45" s="14" t="s">
        <v>36</v>
      </c>
      <c r="D45" s="14" t="s">
        <v>43</v>
      </c>
      <c r="E45" s="14">
        <v>7.0000000000000007E-2</v>
      </c>
      <c r="F45" s="41">
        <f>E45*F11</f>
        <v>7.0000000000000007E-2</v>
      </c>
      <c r="G45" s="14">
        <v>168</v>
      </c>
      <c r="H45" s="37">
        <f t="shared" si="8"/>
        <v>11.760000000000002</v>
      </c>
      <c r="I45" s="38">
        <f>F45*G45</f>
        <v>11.760000000000002</v>
      </c>
      <c r="J45" s="39">
        <v>0.18</v>
      </c>
      <c r="K45" s="40">
        <f t="shared" si="10"/>
        <v>2.1168</v>
      </c>
      <c r="L45" s="41">
        <f t="shared" si="11"/>
        <v>13.876800000000001</v>
      </c>
    </row>
    <row r="46" spans="1:12" x14ac:dyDescent="0.3">
      <c r="A46" s="12"/>
      <c r="B46" s="12" t="s">
        <v>60</v>
      </c>
      <c r="C46" s="14" t="s">
        <v>61</v>
      </c>
      <c r="D46" s="14" t="s">
        <v>62</v>
      </c>
      <c r="E46" s="14">
        <f>0.1</f>
        <v>0.1</v>
      </c>
      <c r="F46" s="41">
        <f>E46*F11</f>
        <v>0.1</v>
      </c>
      <c r="G46" s="14">
        <v>54</v>
      </c>
      <c r="H46" s="37">
        <f>E46*G46</f>
        <v>5.4</v>
      </c>
      <c r="I46" s="38">
        <f>F46*G46</f>
        <v>5.4</v>
      </c>
      <c r="J46" s="39">
        <v>0.18</v>
      </c>
      <c r="K46" s="40">
        <f>I46*J46</f>
        <v>0.97199999999999998</v>
      </c>
      <c r="L46" s="41">
        <f t="shared" si="11"/>
        <v>6.3719999999999999</v>
      </c>
    </row>
    <row r="47" spans="1:12" x14ac:dyDescent="0.3">
      <c r="A47" s="12"/>
      <c r="B47" s="12"/>
      <c r="C47" s="14"/>
      <c r="D47" s="14"/>
      <c r="E47" s="14"/>
      <c r="F47" s="41"/>
      <c r="G47" s="14"/>
      <c r="H47" s="50">
        <f>SUM(H14:H46)</f>
        <v>1465.8781250000002</v>
      </c>
      <c r="I47" s="50">
        <f>SUM(I14:I46)</f>
        <v>1465.8781250000002</v>
      </c>
      <c r="J47" s="51"/>
      <c r="K47" s="52">
        <f>SUM(K14:K46)</f>
        <v>197.48366249999995</v>
      </c>
      <c r="L47" s="53">
        <f>SUM(L14:L46)</f>
        <v>1663.3617875000004</v>
      </c>
    </row>
    <row r="48" spans="1:12" x14ac:dyDescent="0.3">
      <c r="A48" s="12" t="s">
        <v>63</v>
      </c>
      <c r="B48" s="12" t="s">
        <v>64</v>
      </c>
      <c r="C48" s="15"/>
      <c r="D48" s="14" t="s">
        <v>43</v>
      </c>
      <c r="E48" s="14">
        <f>C48*1%</f>
        <v>0</v>
      </c>
      <c r="F48" s="41">
        <f>F11</f>
        <v>1</v>
      </c>
      <c r="G48" s="14">
        <f>E48</f>
        <v>0</v>
      </c>
      <c r="H48" s="38">
        <f>G48</f>
        <v>0</v>
      </c>
      <c r="I48" s="38">
        <f>H48*F48</f>
        <v>0</v>
      </c>
      <c r="J48" s="39">
        <v>0.18</v>
      </c>
      <c r="K48" s="40">
        <f t="shared" ref="K48:K56" si="12">I48*J48</f>
        <v>0</v>
      </c>
      <c r="L48" s="41">
        <f t="shared" ref="L48:L56" si="13">I48+K48</f>
        <v>0</v>
      </c>
    </row>
    <row r="49" spans="1:12" x14ac:dyDescent="0.3">
      <c r="A49" s="12"/>
      <c r="B49" s="12" t="s">
        <v>65</v>
      </c>
      <c r="C49" s="15"/>
      <c r="D49" s="14" t="s">
        <v>43</v>
      </c>
      <c r="E49" s="14">
        <f>C49*1%</f>
        <v>0</v>
      </c>
      <c r="F49" s="41">
        <f>F11</f>
        <v>1</v>
      </c>
      <c r="G49" s="14">
        <f>E49</f>
        <v>0</v>
      </c>
      <c r="H49" s="38">
        <f>G49</f>
        <v>0</v>
      </c>
      <c r="I49" s="38">
        <f>H49*F49</f>
        <v>0</v>
      </c>
      <c r="J49" s="39">
        <v>0.18</v>
      </c>
      <c r="K49" s="40">
        <f t="shared" si="12"/>
        <v>0</v>
      </c>
      <c r="L49" s="41">
        <f t="shared" si="13"/>
        <v>0</v>
      </c>
    </row>
    <row r="50" spans="1:12" x14ac:dyDescent="0.3">
      <c r="A50" s="12"/>
      <c r="B50" s="12" t="s">
        <v>66</v>
      </c>
      <c r="C50" s="15"/>
      <c r="D50" s="14" t="s">
        <v>43</v>
      </c>
      <c r="E50" s="14">
        <f>C50*5%</f>
        <v>0</v>
      </c>
      <c r="F50" s="41">
        <f>F11</f>
        <v>1</v>
      </c>
      <c r="G50" s="14">
        <f t="shared" ref="G50:G55" si="14">E50</f>
        <v>0</v>
      </c>
      <c r="H50" s="38">
        <f t="shared" ref="H50:H55" si="15">G50</f>
        <v>0</v>
      </c>
      <c r="I50" s="38">
        <f>H50*F50</f>
        <v>0</v>
      </c>
      <c r="J50" s="39"/>
      <c r="K50" s="40">
        <f t="shared" si="12"/>
        <v>0</v>
      </c>
      <c r="L50" s="41">
        <f t="shared" si="13"/>
        <v>0</v>
      </c>
    </row>
    <row r="51" spans="1:12" x14ac:dyDescent="0.3">
      <c r="A51" s="12"/>
      <c r="B51" s="12" t="s">
        <v>67</v>
      </c>
      <c r="C51" s="15"/>
      <c r="D51" s="14" t="s">
        <v>43</v>
      </c>
      <c r="E51" s="14">
        <f>C51*7%</f>
        <v>0</v>
      </c>
      <c r="F51" s="41">
        <f>F11</f>
        <v>1</v>
      </c>
      <c r="G51" s="14">
        <f t="shared" si="14"/>
        <v>0</v>
      </c>
      <c r="H51" s="38">
        <f t="shared" si="15"/>
        <v>0</v>
      </c>
      <c r="I51" s="38">
        <f>H51*F51</f>
        <v>0</v>
      </c>
      <c r="J51" s="12"/>
      <c r="K51" s="40">
        <f t="shared" si="12"/>
        <v>0</v>
      </c>
      <c r="L51" s="41">
        <f t="shared" si="13"/>
        <v>0</v>
      </c>
    </row>
    <row r="52" spans="1:12" x14ac:dyDescent="0.3">
      <c r="A52" s="9" t="s">
        <v>68</v>
      </c>
      <c r="B52" s="12" t="s">
        <v>69</v>
      </c>
      <c r="C52" s="15"/>
      <c r="D52" s="14" t="s">
        <v>43</v>
      </c>
      <c r="E52" s="14">
        <f>C52*2.5%</f>
        <v>0</v>
      </c>
      <c r="F52" s="41">
        <f>F11</f>
        <v>1</v>
      </c>
      <c r="G52" s="14">
        <f t="shared" si="14"/>
        <v>0</v>
      </c>
      <c r="H52" s="38">
        <f t="shared" si="15"/>
        <v>0</v>
      </c>
      <c r="I52" s="38">
        <f t="shared" ref="I52:I56" si="16">H52*F52</f>
        <v>0</v>
      </c>
      <c r="J52" s="12"/>
      <c r="K52" s="40">
        <f t="shared" si="12"/>
        <v>0</v>
      </c>
      <c r="L52" s="41">
        <f t="shared" si="13"/>
        <v>0</v>
      </c>
    </row>
    <row r="53" spans="1:12" x14ac:dyDescent="0.3">
      <c r="A53" s="12"/>
      <c r="B53" s="12" t="s">
        <v>70</v>
      </c>
      <c r="C53" s="15"/>
      <c r="D53" s="14" t="s">
        <v>43</v>
      </c>
      <c r="E53" s="14">
        <f>C53*2%</f>
        <v>0</v>
      </c>
      <c r="F53" s="41">
        <f>F11</f>
        <v>1</v>
      </c>
      <c r="G53" s="14">
        <f t="shared" si="14"/>
        <v>0</v>
      </c>
      <c r="H53" s="38">
        <f t="shared" si="15"/>
        <v>0</v>
      </c>
      <c r="I53" s="38">
        <f t="shared" si="16"/>
        <v>0</v>
      </c>
      <c r="J53" s="12"/>
      <c r="K53" s="40">
        <f t="shared" si="12"/>
        <v>0</v>
      </c>
      <c r="L53" s="41">
        <f t="shared" si="13"/>
        <v>0</v>
      </c>
    </row>
    <row r="54" spans="1:12" x14ac:dyDescent="0.3">
      <c r="A54" s="12"/>
      <c r="B54" s="12" t="s">
        <v>71</v>
      </c>
      <c r="C54" s="15"/>
      <c r="D54" s="14" t="s">
        <v>43</v>
      </c>
      <c r="E54" s="14">
        <v>1200</v>
      </c>
      <c r="F54" s="41">
        <f>F11</f>
        <v>1</v>
      </c>
      <c r="G54" s="14">
        <f t="shared" si="14"/>
        <v>1200</v>
      </c>
      <c r="H54" s="38">
        <f t="shared" si="15"/>
        <v>1200</v>
      </c>
      <c r="I54" s="38">
        <f t="shared" si="16"/>
        <v>1200</v>
      </c>
      <c r="J54" s="12"/>
      <c r="K54" s="40">
        <f t="shared" si="12"/>
        <v>0</v>
      </c>
      <c r="L54" s="41">
        <f t="shared" si="13"/>
        <v>1200</v>
      </c>
    </row>
    <row r="55" spans="1:12" x14ac:dyDescent="0.3">
      <c r="A55" s="12"/>
      <c r="B55" s="12" t="s">
        <v>72</v>
      </c>
      <c r="C55" s="15">
        <f>B61</f>
        <v>4590</v>
      </c>
      <c r="D55" s="14" t="s">
        <v>43</v>
      </c>
      <c r="E55" s="14">
        <f>C55*5%</f>
        <v>229.5</v>
      </c>
      <c r="F55" s="41">
        <f>F11</f>
        <v>1</v>
      </c>
      <c r="G55" s="14">
        <f t="shared" si="14"/>
        <v>229.5</v>
      </c>
      <c r="H55" s="38">
        <f t="shared" si="15"/>
        <v>229.5</v>
      </c>
      <c r="I55" s="38">
        <f t="shared" si="16"/>
        <v>229.5</v>
      </c>
      <c r="J55" s="12"/>
      <c r="K55" s="40">
        <f t="shared" si="12"/>
        <v>0</v>
      </c>
      <c r="L55" s="41">
        <f t="shared" si="13"/>
        <v>229.5</v>
      </c>
    </row>
    <row r="56" spans="1:12" x14ac:dyDescent="0.3">
      <c r="A56" s="12" t="s">
        <v>73</v>
      </c>
      <c r="B56" s="54" t="s">
        <v>74</v>
      </c>
      <c r="C56" s="55"/>
      <c r="D56" s="55" t="s">
        <v>43</v>
      </c>
      <c r="E56" s="55">
        <v>420</v>
      </c>
      <c r="F56" s="41">
        <f>F11</f>
        <v>1</v>
      </c>
      <c r="G56" s="55">
        <v>420</v>
      </c>
      <c r="H56" s="56">
        <v>420</v>
      </c>
      <c r="I56" s="38">
        <f t="shared" si="16"/>
        <v>420</v>
      </c>
      <c r="J56" s="54"/>
      <c r="K56" s="57">
        <f t="shared" si="12"/>
        <v>0</v>
      </c>
      <c r="L56" s="58">
        <f t="shared" si="13"/>
        <v>420</v>
      </c>
    </row>
    <row r="57" spans="1:12" x14ac:dyDescent="0.3">
      <c r="A57" s="2"/>
      <c r="B57" s="2"/>
      <c r="C57" s="1"/>
      <c r="D57" s="1"/>
      <c r="E57" s="1"/>
      <c r="F57" s="59">
        <f>F11</f>
        <v>1</v>
      </c>
      <c r="G57" s="1"/>
      <c r="H57" s="59">
        <f>SUM(H47:H56)</f>
        <v>3315.3781250000002</v>
      </c>
      <c r="I57" s="59">
        <f>SUM(I47:I56)</f>
        <v>3315.3781250000002</v>
      </c>
      <c r="J57" s="60"/>
      <c r="K57" s="59">
        <f>SUM(K47:K56)</f>
        <v>197.48366249999995</v>
      </c>
      <c r="L57" s="59">
        <f>SUM(L47:L56)</f>
        <v>3512.8617875000004</v>
      </c>
    </row>
    <row r="58" spans="1:12" x14ac:dyDescent="0.3">
      <c r="A58" s="2"/>
      <c r="B58" s="2"/>
      <c r="C58" s="1"/>
      <c r="D58" s="1"/>
      <c r="E58" s="1"/>
      <c r="F58" s="2"/>
      <c r="G58" s="1"/>
      <c r="H58" s="61"/>
      <c r="I58" s="61"/>
    </row>
    <row r="59" spans="1:12" ht="46.2" customHeight="1" x14ac:dyDescent="0.3">
      <c r="A59" s="2"/>
      <c r="B59" s="2"/>
      <c r="C59" s="1"/>
      <c r="D59" s="1"/>
      <c r="E59" s="1"/>
      <c r="F59" s="2"/>
      <c r="G59" s="62" t="s">
        <v>75</v>
      </c>
      <c r="H59" s="2"/>
      <c r="I59" s="2"/>
      <c r="J59" s="2"/>
      <c r="K59" s="61"/>
      <c r="L59" s="2"/>
    </row>
    <row r="60" spans="1:12" ht="18" x14ac:dyDescent="0.35">
      <c r="A60" s="63" t="s">
        <v>76</v>
      </c>
      <c r="B60" s="64">
        <v>54</v>
      </c>
      <c r="C60" s="122" t="s">
        <v>77</v>
      </c>
      <c r="D60" s="122"/>
      <c r="E60" s="122"/>
      <c r="F60" s="122"/>
      <c r="G60" s="65">
        <f>G12</f>
        <v>1282.5</v>
      </c>
      <c r="H60" s="1"/>
      <c r="I60" s="1"/>
      <c r="J60" s="2"/>
      <c r="K60" s="2"/>
      <c r="L60" s="2"/>
    </row>
    <row r="61" spans="1:12" ht="18" x14ac:dyDescent="0.35">
      <c r="A61" s="63">
        <v>85</v>
      </c>
      <c r="B61" s="63">
        <f>B60*A61</f>
        <v>4590</v>
      </c>
      <c r="C61" s="122" t="s">
        <v>78</v>
      </c>
      <c r="D61" s="122"/>
      <c r="E61" s="122"/>
      <c r="F61" s="122"/>
      <c r="G61" s="65">
        <f>I57/F11</f>
        <v>3315.3781250000002</v>
      </c>
      <c r="H61" s="1"/>
      <c r="I61" s="1"/>
      <c r="J61" s="2"/>
      <c r="K61" s="2"/>
      <c r="L61" s="2"/>
    </row>
    <row r="62" spans="1:12" x14ac:dyDescent="0.3">
      <c r="A62" s="2"/>
      <c r="B62" s="2"/>
      <c r="C62" s="130" t="s">
        <v>79</v>
      </c>
      <c r="D62" s="130"/>
      <c r="E62" s="130"/>
      <c r="F62" s="130"/>
      <c r="G62" s="67">
        <f>SUM(G60:G61)</f>
        <v>4597.8781250000002</v>
      </c>
      <c r="H62" s="1"/>
      <c r="I62" s="1"/>
      <c r="J62" s="2"/>
      <c r="K62" s="2"/>
      <c r="L62" s="2"/>
    </row>
    <row r="63" spans="1:12" ht="18" x14ac:dyDescent="0.35">
      <c r="A63" s="63" t="s">
        <v>76</v>
      </c>
      <c r="B63" s="64">
        <f>H64</f>
        <v>48.39871710526316</v>
      </c>
      <c r="C63" s="2"/>
      <c r="G63" s="1"/>
      <c r="H63" s="1"/>
      <c r="I63" s="1"/>
      <c r="J63" s="2"/>
      <c r="K63" s="2"/>
      <c r="L63" s="2"/>
    </row>
    <row r="64" spans="1:12" ht="18" x14ac:dyDescent="0.35">
      <c r="A64" s="63">
        <v>95</v>
      </c>
      <c r="B64" s="64">
        <f>B63*A64</f>
        <v>4597.8781250000002</v>
      </c>
      <c r="C64" s="2"/>
      <c r="G64" s="68">
        <f>G62/A61</f>
        <v>54.092683823529413</v>
      </c>
      <c r="H64" s="69">
        <f>G62/A64</f>
        <v>48.39871710526316</v>
      </c>
      <c r="I64" s="1"/>
      <c r="J64" s="2"/>
      <c r="K64" s="2"/>
      <c r="L64" s="2"/>
    </row>
    <row r="65" spans="1:12" x14ac:dyDescent="0.3">
      <c r="A65" s="2"/>
      <c r="D65" s="70" t="s">
        <v>80</v>
      </c>
      <c r="E65" s="1"/>
      <c r="F65" s="71"/>
      <c r="G65" s="71"/>
      <c r="H65" s="1"/>
      <c r="I65" s="1"/>
      <c r="J65" s="2"/>
      <c r="K65" s="2"/>
      <c r="L65" s="2"/>
    </row>
    <row r="66" spans="1:12" x14ac:dyDescent="0.3">
      <c r="A66" s="2"/>
      <c r="D66" s="72" t="s">
        <v>81</v>
      </c>
      <c r="E66" s="73">
        <f>I57/F57</f>
        <v>3315.3781250000002</v>
      </c>
      <c r="F66" s="74" t="s">
        <v>20</v>
      </c>
      <c r="G66" s="71"/>
      <c r="H66" s="1"/>
      <c r="I66" s="1"/>
      <c r="J66" s="2"/>
      <c r="K66" s="2"/>
      <c r="L66" s="2"/>
    </row>
    <row r="67" spans="1:12" x14ac:dyDescent="0.3">
      <c r="A67" s="2"/>
      <c r="B67" s="132" t="s">
        <v>170</v>
      </c>
      <c r="C67" s="2"/>
      <c r="D67" s="72" t="s">
        <v>21</v>
      </c>
      <c r="E67" s="73">
        <f>L57/F57</f>
        <v>3512.8617875000004</v>
      </c>
      <c r="F67" s="74" t="s">
        <v>20</v>
      </c>
      <c r="G67" s="71"/>
      <c r="H67" s="1"/>
      <c r="I67" s="1"/>
      <c r="J67" s="2"/>
      <c r="K67" s="2"/>
      <c r="L67" s="2"/>
    </row>
    <row r="68" spans="1:12" x14ac:dyDescent="0.3">
      <c r="A68" s="2"/>
      <c r="B68" s="132"/>
      <c r="C68" s="1"/>
      <c r="D68" s="76"/>
      <c r="E68" s="71"/>
      <c r="F68" s="71"/>
      <c r="G68" s="1"/>
      <c r="H68" s="2"/>
      <c r="I68" s="2"/>
      <c r="J68" s="2"/>
      <c r="K68" s="2"/>
      <c r="L68" s="2"/>
    </row>
    <row r="69" spans="1:12" x14ac:dyDescent="0.3">
      <c r="B69" s="132"/>
      <c r="D69" s="77" t="s">
        <v>21</v>
      </c>
      <c r="E69" s="78"/>
      <c r="F69" s="79" t="s">
        <v>19</v>
      </c>
    </row>
    <row r="70" spans="1:12" x14ac:dyDescent="0.3">
      <c r="B70" s="122" t="s">
        <v>82</v>
      </c>
      <c r="C70" s="122"/>
      <c r="D70" s="65">
        <f>G13</f>
        <v>1436.4</v>
      </c>
      <c r="E70" s="75"/>
      <c r="F70" s="80">
        <f>G12</f>
        <v>1282.5</v>
      </c>
    </row>
    <row r="71" spans="1:12" x14ac:dyDescent="0.3">
      <c r="B71" s="124" t="s">
        <v>83</v>
      </c>
      <c r="C71" s="125"/>
      <c r="D71" s="65">
        <f>E67</f>
        <v>3512.8617875000004</v>
      </c>
      <c r="E71" s="75"/>
      <c r="F71" s="80">
        <f>E66</f>
        <v>3315.3781250000002</v>
      </c>
    </row>
    <row r="72" spans="1:12" x14ac:dyDescent="0.3">
      <c r="B72" s="66" t="s">
        <v>79</v>
      </c>
      <c r="C72" s="66"/>
      <c r="D72" s="67">
        <f>SUM(D70:D71)</f>
        <v>4949.2617875000005</v>
      </c>
      <c r="E72" s="78"/>
      <c r="F72" s="81">
        <f>SUM(F70:F71)</f>
        <v>4597.8781250000002</v>
      </c>
    </row>
    <row r="73" spans="1:12" x14ac:dyDescent="0.3">
      <c r="D73" s="82"/>
      <c r="E73" s="1"/>
      <c r="F73" s="71"/>
    </row>
    <row r="74" spans="1:12" x14ac:dyDescent="0.3">
      <c r="D74" s="68">
        <f>D72/A61</f>
        <v>58.226609264705885</v>
      </c>
      <c r="E74" s="1"/>
      <c r="F74" s="68">
        <f>F72/A61</f>
        <v>54.092683823529413</v>
      </c>
    </row>
    <row r="81" spans="4:4" x14ac:dyDescent="0.3">
      <c r="D81" s="43"/>
    </row>
    <row r="82" spans="4:4" x14ac:dyDescent="0.3">
      <c r="D82" s="43"/>
    </row>
    <row r="83" spans="4:4" x14ac:dyDescent="0.3">
      <c r="D83" s="43"/>
    </row>
    <row r="84" spans="4:4" x14ac:dyDescent="0.3">
      <c r="D84" s="43"/>
    </row>
    <row r="85" spans="4:4" x14ac:dyDescent="0.3">
      <c r="D85" s="43"/>
    </row>
  </sheetData>
  <mergeCells count="14">
    <mergeCell ref="B70:C70"/>
    <mergeCell ref="B71:C71"/>
    <mergeCell ref="D12:E12"/>
    <mergeCell ref="D13:E13"/>
    <mergeCell ref="C60:F60"/>
    <mergeCell ref="C61:F61"/>
    <mergeCell ref="C62:F62"/>
    <mergeCell ref="B67:B69"/>
    <mergeCell ref="L7:L8"/>
    <mergeCell ref="A1:F1"/>
    <mergeCell ref="A2:F2"/>
    <mergeCell ref="A3:F3"/>
    <mergeCell ref="A5:F5"/>
    <mergeCell ref="J7:K7"/>
  </mergeCells>
  <pageMargins left="0.11811023622047245" right="0.11811023622047245" top="0.15748031496062992" bottom="0.15748031496062992" header="0.31496062992125984" footer="0.31496062992125984"/>
  <pageSetup paperSize="9" scale="95" orientation="landscape" verticalDpi="0" r:id="rId1"/>
  <ignoredErrors>
    <ignoredError sqref="I20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3074-EF71-411F-BE04-1292D3F94ED5}">
  <dimension ref="A1:L79"/>
  <sheetViews>
    <sheetView workbookViewId="0">
      <selection sqref="A1:XFD1048576"/>
    </sheetView>
  </sheetViews>
  <sheetFormatPr defaultRowHeight="14.4" x14ac:dyDescent="0.3"/>
  <cols>
    <col min="1" max="1" width="9.88671875" bestFit="1" customWidth="1"/>
    <col min="2" max="2" width="46.44140625" bestFit="1" customWidth="1"/>
    <col min="3" max="3" width="13.109375" bestFit="1" customWidth="1"/>
    <col min="4" max="4" width="10.33203125" bestFit="1" customWidth="1"/>
    <col min="5" max="5" width="7.5546875" bestFit="1" customWidth="1"/>
    <col min="6" max="6" width="8.5546875" bestFit="1" customWidth="1"/>
    <col min="7" max="7" width="9.6640625" style="43" customWidth="1"/>
    <col min="8" max="8" width="7.88671875" bestFit="1" customWidth="1"/>
    <col min="9" max="9" width="9.44140625" bestFit="1" customWidth="1"/>
    <col min="10" max="10" width="5.44140625" bestFit="1" customWidth="1"/>
    <col min="11" max="11" width="9.109375" bestFit="1" customWidth="1"/>
    <col min="12" max="12" width="9.6640625" bestFit="1" customWidth="1"/>
    <col min="13" max="13" width="5" bestFit="1" customWidth="1"/>
    <col min="14" max="14" width="7" bestFit="1" customWidth="1"/>
  </cols>
  <sheetData>
    <row r="1" spans="1:12" x14ac:dyDescent="0.3">
      <c r="A1" s="114" t="s">
        <v>0</v>
      </c>
      <c r="B1" s="115"/>
      <c r="C1" s="115"/>
      <c r="D1" s="115"/>
      <c r="E1" s="115"/>
      <c r="F1" s="115"/>
      <c r="G1" s="1"/>
      <c r="H1" s="2"/>
      <c r="I1" s="2"/>
      <c r="J1" s="2"/>
      <c r="K1" s="2"/>
      <c r="L1" s="2"/>
    </row>
    <row r="2" spans="1:12" x14ac:dyDescent="0.3">
      <c r="A2" s="114" t="s">
        <v>1</v>
      </c>
      <c r="B2" s="115"/>
      <c r="C2" s="115"/>
      <c r="D2" s="115"/>
      <c r="E2" s="115"/>
      <c r="F2" s="115"/>
      <c r="G2" s="1"/>
      <c r="H2" s="2"/>
      <c r="I2" s="2"/>
      <c r="J2" s="2"/>
      <c r="K2" s="2"/>
      <c r="L2" s="2"/>
    </row>
    <row r="3" spans="1:12" ht="18" x14ac:dyDescent="0.35">
      <c r="A3" s="116" t="s">
        <v>191</v>
      </c>
      <c r="B3" s="116"/>
      <c r="C3" s="116"/>
      <c r="D3" s="116"/>
      <c r="E3" s="116"/>
      <c r="F3" s="116"/>
      <c r="G3" s="3"/>
      <c r="H3" s="4"/>
      <c r="I3" s="4"/>
      <c r="J3" s="4"/>
      <c r="K3" s="4"/>
      <c r="L3" s="4"/>
    </row>
    <row r="4" spans="1:12" ht="21" x14ac:dyDescent="0.4">
      <c r="A4" s="128" t="s">
        <v>2</v>
      </c>
      <c r="B4" s="129"/>
      <c r="C4" s="129"/>
      <c r="D4" s="129"/>
      <c r="E4" s="129"/>
      <c r="F4" s="129"/>
      <c r="G4" s="1"/>
      <c r="H4" s="2"/>
      <c r="I4" s="2"/>
      <c r="J4" s="2"/>
      <c r="K4" s="2"/>
      <c r="L4" s="2"/>
    </row>
    <row r="5" spans="1:12" x14ac:dyDescent="0.3">
      <c r="A5" s="2"/>
      <c r="B5" s="2"/>
      <c r="C5" s="2"/>
      <c r="D5" s="2"/>
      <c r="E5" s="2"/>
      <c r="F5" s="2"/>
      <c r="G5" s="1"/>
      <c r="H5" s="2"/>
      <c r="I5" s="2"/>
      <c r="J5" s="2"/>
      <c r="K5" s="2"/>
      <c r="L5" s="2"/>
    </row>
    <row r="6" spans="1:12" ht="24" x14ac:dyDescent="0.3">
      <c r="A6" s="5" t="s">
        <v>3</v>
      </c>
      <c r="B6" s="6" t="s">
        <v>4</v>
      </c>
      <c r="C6" s="7" t="s">
        <v>5</v>
      </c>
      <c r="D6" s="7" t="s">
        <v>6</v>
      </c>
      <c r="E6" s="7" t="s">
        <v>7</v>
      </c>
      <c r="F6" s="6" t="s">
        <v>8</v>
      </c>
      <c r="G6" s="7" t="s">
        <v>9</v>
      </c>
      <c r="H6" s="8" t="s">
        <v>10</v>
      </c>
      <c r="I6" s="7" t="s">
        <v>11</v>
      </c>
      <c r="J6" s="117" t="s">
        <v>12</v>
      </c>
      <c r="K6" s="118"/>
      <c r="L6" s="119" t="s">
        <v>13</v>
      </c>
    </row>
    <row r="7" spans="1:12" x14ac:dyDescent="0.3">
      <c r="A7" s="9" t="s">
        <v>14</v>
      </c>
      <c r="B7" s="99" t="s">
        <v>175</v>
      </c>
      <c r="C7" s="10"/>
      <c r="D7" s="10"/>
      <c r="E7" s="10"/>
      <c r="F7" s="9"/>
      <c r="G7" s="10"/>
      <c r="H7" s="10"/>
      <c r="I7" s="10"/>
      <c r="J7" s="10" t="s">
        <v>15</v>
      </c>
      <c r="K7" s="11" t="s">
        <v>11</v>
      </c>
      <c r="L7" s="119"/>
    </row>
    <row r="8" spans="1:12" x14ac:dyDescent="0.3">
      <c r="A8" s="12"/>
      <c r="B8" s="99"/>
      <c r="C8" s="10" t="s">
        <v>156</v>
      </c>
      <c r="D8" s="14" t="s">
        <v>17</v>
      </c>
      <c r="E8" s="15">
        <v>1</v>
      </c>
      <c r="F8" s="15">
        <f>E8*F10</f>
        <v>1</v>
      </c>
      <c r="G8" s="14">
        <v>0</v>
      </c>
      <c r="H8" s="16">
        <f>F8*G8</f>
        <v>0</v>
      </c>
      <c r="I8" s="17">
        <f>F8*G8</f>
        <v>0</v>
      </c>
      <c r="J8" s="18">
        <v>0.12</v>
      </c>
      <c r="K8" s="19">
        <f>I8*J8</f>
        <v>0</v>
      </c>
      <c r="L8" s="15">
        <f>I8+K8</f>
        <v>0</v>
      </c>
    </row>
    <row r="9" spans="1:12" x14ac:dyDescent="0.3">
      <c r="A9" s="12"/>
      <c r="B9" s="99"/>
      <c r="C9" s="10"/>
      <c r="D9" s="14"/>
      <c r="E9" s="15"/>
      <c r="F9" s="15"/>
      <c r="G9" s="14"/>
      <c r="H9" s="16"/>
      <c r="I9" s="17"/>
      <c r="J9" s="18"/>
      <c r="K9" s="19"/>
      <c r="L9" s="15"/>
    </row>
    <row r="10" spans="1:12" ht="18" x14ac:dyDescent="0.3">
      <c r="A10" s="21"/>
      <c r="B10" s="99"/>
      <c r="C10" s="10"/>
      <c r="D10" s="22"/>
      <c r="E10" s="23"/>
      <c r="F10" s="24">
        <v>1</v>
      </c>
      <c r="G10" s="23"/>
      <c r="H10" s="25">
        <f>SUM(H8:H9)</f>
        <v>0</v>
      </c>
      <c r="I10" s="26">
        <f>SUM(I8:I9)</f>
        <v>0</v>
      </c>
      <c r="J10" s="27"/>
      <c r="K10" s="28">
        <f>SUM(K8:K9)</f>
        <v>0</v>
      </c>
      <c r="L10" s="29">
        <f>SUM(L8:L9)</f>
        <v>0</v>
      </c>
    </row>
    <row r="11" spans="1:12" x14ac:dyDescent="0.3">
      <c r="A11" s="12"/>
      <c r="B11" s="99"/>
      <c r="C11" s="20"/>
      <c r="D11" s="120" t="s">
        <v>19</v>
      </c>
      <c r="E11" s="121"/>
      <c r="F11" s="35" t="s">
        <v>20</v>
      </c>
      <c r="G11" s="36">
        <f>I10/F10</f>
        <v>0</v>
      </c>
      <c r="H11" s="37"/>
      <c r="I11" s="38"/>
      <c r="J11" s="39"/>
      <c r="K11" s="40"/>
      <c r="L11" s="41"/>
    </row>
    <row r="12" spans="1:12" x14ac:dyDescent="0.3">
      <c r="A12" s="12"/>
      <c r="B12" s="22"/>
      <c r="C12" s="14"/>
      <c r="D12" s="120" t="s">
        <v>21</v>
      </c>
      <c r="E12" s="121"/>
      <c r="F12" s="35" t="s">
        <v>20</v>
      </c>
      <c r="G12" s="36">
        <f>L10/F10</f>
        <v>0</v>
      </c>
      <c r="H12" s="37"/>
      <c r="I12" s="38"/>
      <c r="J12" s="39"/>
      <c r="K12" s="40"/>
      <c r="L12" s="41"/>
    </row>
    <row r="13" spans="1:12" x14ac:dyDescent="0.3">
      <c r="A13" s="9" t="s">
        <v>22</v>
      </c>
      <c r="B13" s="42" t="s">
        <v>176</v>
      </c>
      <c r="C13" s="14" t="s">
        <v>159</v>
      </c>
      <c r="D13" s="14" t="s">
        <v>24</v>
      </c>
      <c r="E13" s="14">
        <v>2.4</v>
      </c>
      <c r="F13" s="41">
        <f>E13*F10</f>
        <v>2.4</v>
      </c>
      <c r="G13" s="14">
        <v>52</v>
      </c>
      <c r="H13" s="37">
        <f>E13*G13</f>
        <v>124.8</v>
      </c>
      <c r="I13" s="38">
        <f>F13*G13</f>
        <v>124.8</v>
      </c>
      <c r="J13" s="39">
        <v>0.12</v>
      </c>
      <c r="K13" s="40">
        <f>I13*J13</f>
        <v>14.975999999999999</v>
      </c>
      <c r="L13" s="41">
        <f>I13+K13</f>
        <v>139.77600000000001</v>
      </c>
    </row>
    <row r="14" spans="1:12" x14ac:dyDescent="0.3">
      <c r="A14" s="9"/>
      <c r="B14" s="42" t="s">
        <v>229</v>
      </c>
      <c r="C14" s="14" t="str">
        <f>C6</f>
        <v>Colour</v>
      </c>
      <c r="D14" s="14" t="s">
        <v>24</v>
      </c>
      <c r="E14" s="14">
        <v>1</v>
      </c>
      <c r="F14" s="41">
        <f>E14*F10</f>
        <v>1</v>
      </c>
      <c r="G14" s="14">
        <v>38</v>
      </c>
      <c r="H14" s="37">
        <f>E14*G14</f>
        <v>38</v>
      </c>
      <c r="I14" s="38">
        <f>F14*G14</f>
        <v>38</v>
      </c>
      <c r="J14" s="39">
        <v>0.12</v>
      </c>
      <c r="K14" s="40">
        <f>I14*J14</f>
        <v>4.5599999999999996</v>
      </c>
      <c r="L14" s="41">
        <f>I14+K14</f>
        <v>42.56</v>
      </c>
    </row>
    <row r="15" spans="1:12" x14ac:dyDescent="0.3">
      <c r="A15" s="9"/>
      <c r="B15" s="42"/>
      <c r="C15" s="14"/>
      <c r="D15" s="14"/>
      <c r="E15" s="14"/>
      <c r="F15" s="41"/>
      <c r="G15" s="14"/>
      <c r="H15" s="37"/>
      <c r="I15" s="38"/>
      <c r="J15" s="39"/>
      <c r="K15" s="40"/>
      <c r="L15" s="41"/>
    </row>
    <row r="16" spans="1:12" x14ac:dyDescent="0.3">
      <c r="A16" s="9" t="s">
        <v>26</v>
      </c>
      <c r="B16" s="12" t="s">
        <v>27</v>
      </c>
      <c r="C16" s="14" t="str">
        <f>C8</f>
        <v xml:space="preserve">DARK BLUE </v>
      </c>
      <c r="D16" s="14" t="s">
        <v>28</v>
      </c>
      <c r="E16" s="14">
        <v>100</v>
      </c>
      <c r="F16" s="41">
        <f>E16*F10</f>
        <v>100</v>
      </c>
      <c r="G16" s="14">
        <v>125</v>
      </c>
      <c r="H16" s="37">
        <f>F16/1000*G16/F10</f>
        <v>12.5</v>
      </c>
      <c r="I16" s="38">
        <f>F16/1000*G16</f>
        <v>12.5</v>
      </c>
      <c r="J16" s="39">
        <v>0.12</v>
      </c>
      <c r="K16" s="40">
        <f>I16*J16</f>
        <v>1.5</v>
      </c>
      <c r="L16" s="41">
        <f>I16+K16</f>
        <v>14</v>
      </c>
    </row>
    <row r="17" spans="1:12" x14ac:dyDescent="0.3">
      <c r="A17" s="9"/>
      <c r="B17" s="12" t="s">
        <v>29</v>
      </c>
      <c r="C17" s="14" t="str">
        <f>C8</f>
        <v xml:space="preserve">DARK BLUE </v>
      </c>
      <c r="D17" s="14" t="s">
        <v>28</v>
      </c>
      <c r="E17" s="14">
        <v>100</v>
      </c>
      <c r="F17" s="41">
        <f>E17*F10</f>
        <v>100</v>
      </c>
      <c r="G17" s="14">
        <v>257</v>
      </c>
      <c r="H17" s="37">
        <f>F17/5000*G17/F10</f>
        <v>5.14</v>
      </c>
      <c r="I17" s="38">
        <f>H17*F10</f>
        <v>5.14</v>
      </c>
      <c r="J17" s="39">
        <v>0.12</v>
      </c>
      <c r="K17" s="40">
        <f>I17*J17</f>
        <v>0.6167999999999999</v>
      </c>
      <c r="L17" s="41">
        <f>I17+K17</f>
        <v>5.7567999999999993</v>
      </c>
    </row>
    <row r="18" spans="1:12" x14ac:dyDescent="0.3">
      <c r="A18" s="9"/>
      <c r="B18" s="12" t="s">
        <v>30</v>
      </c>
      <c r="C18" s="14" t="str">
        <f>C8</f>
        <v xml:space="preserve">DARK BLUE </v>
      </c>
      <c r="D18" s="14" t="s">
        <v>28</v>
      </c>
      <c r="E18" s="14">
        <v>50</v>
      </c>
      <c r="F18" s="41">
        <f>E18*F10</f>
        <v>50</v>
      </c>
      <c r="G18" s="14">
        <v>162</v>
      </c>
      <c r="H18" s="37">
        <f>F18/1000*G18/F10</f>
        <v>8.1</v>
      </c>
      <c r="I18" s="38">
        <f>F18/1000*G18</f>
        <v>8.1</v>
      </c>
      <c r="J18" s="39">
        <v>0.12</v>
      </c>
      <c r="K18" s="40">
        <f>I18*J18</f>
        <v>0.97199999999999998</v>
      </c>
      <c r="L18" s="41">
        <f>I18+K18</f>
        <v>9.0719999999999992</v>
      </c>
    </row>
    <row r="19" spans="1:12" x14ac:dyDescent="0.3">
      <c r="A19" s="9"/>
      <c r="B19" s="12"/>
      <c r="C19" s="14"/>
      <c r="D19" s="14"/>
      <c r="E19" s="14"/>
      <c r="F19" s="41"/>
      <c r="G19" s="14"/>
      <c r="H19" s="37"/>
      <c r="I19" s="38"/>
      <c r="J19" s="39"/>
      <c r="K19" s="40"/>
      <c r="L19" s="41"/>
    </row>
    <row r="20" spans="1:12" x14ac:dyDescent="0.3">
      <c r="A20" s="9" t="s">
        <v>31</v>
      </c>
      <c r="B20" s="12" t="s">
        <v>32</v>
      </c>
      <c r="C20" s="14" t="s">
        <v>33</v>
      </c>
      <c r="D20" s="14" t="s">
        <v>34</v>
      </c>
      <c r="E20" s="14">
        <v>0</v>
      </c>
      <c r="F20" s="41">
        <f>E20*F10</f>
        <v>0</v>
      </c>
      <c r="G20" s="14">
        <v>16</v>
      </c>
      <c r="H20" s="37">
        <f>E20*G20</f>
        <v>0</v>
      </c>
      <c r="I20" s="38">
        <f>F20*G20</f>
        <v>0</v>
      </c>
      <c r="J20" s="39">
        <v>0.18</v>
      </c>
      <c r="K20" s="40">
        <f>I20*J20</f>
        <v>0</v>
      </c>
      <c r="L20" s="41">
        <f>I20+K20</f>
        <v>0</v>
      </c>
    </row>
    <row r="21" spans="1:12" x14ac:dyDescent="0.3">
      <c r="A21" s="9"/>
      <c r="B21" s="12" t="s">
        <v>35</v>
      </c>
      <c r="C21" s="14" t="s">
        <v>36</v>
      </c>
      <c r="D21" s="14" t="s">
        <v>37</v>
      </c>
      <c r="E21" s="14">
        <v>0</v>
      </c>
      <c r="F21" s="41">
        <f>E21*F10</f>
        <v>0</v>
      </c>
      <c r="G21" s="14">
        <v>0</v>
      </c>
      <c r="H21" s="37">
        <f>E21*G21</f>
        <v>0</v>
      </c>
      <c r="I21" s="38">
        <f>F21*G21</f>
        <v>0</v>
      </c>
      <c r="J21" s="39">
        <v>0.18</v>
      </c>
      <c r="K21" s="40">
        <f>I21*J21</f>
        <v>0</v>
      </c>
      <c r="L21" s="41">
        <f>I21+K21</f>
        <v>0</v>
      </c>
    </row>
    <row r="22" spans="1:12" x14ac:dyDescent="0.3">
      <c r="A22" s="9"/>
      <c r="B22" s="12" t="s">
        <v>38</v>
      </c>
      <c r="C22" s="14" t="s">
        <v>39</v>
      </c>
      <c r="D22" s="14" t="s">
        <v>34</v>
      </c>
      <c r="E22" s="14">
        <v>0</v>
      </c>
      <c r="F22" s="41">
        <f>E22*F10</f>
        <v>0</v>
      </c>
      <c r="G22" s="14">
        <v>0</v>
      </c>
      <c r="H22" s="37">
        <f>E22*G22</f>
        <v>0</v>
      </c>
      <c r="I22" s="38">
        <f>F22*G22</f>
        <v>0</v>
      </c>
      <c r="J22" s="39">
        <v>0.18</v>
      </c>
      <c r="K22" s="40">
        <f>I22*J22</f>
        <v>0</v>
      </c>
      <c r="L22" s="41">
        <f>I22+K22</f>
        <v>0</v>
      </c>
    </row>
    <row r="23" spans="1:12" x14ac:dyDescent="0.3">
      <c r="A23" s="9"/>
      <c r="B23" s="12"/>
      <c r="C23" s="14"/>
      <c r="D23" s="14"/>
      <c r="E23" s="14"/>
      <c r="F23" s="41"/>
      <c r="G23" s="14"/>
      <c r="H23" s="37"/>
      <c r="I23" s="38"/>
      <c r="J23" s="39"/>
      <c r="K23" s="40"/>
      <c r="L23" s="41"/>
    </row>
    <row r="24" spans="1:12" x14ac:dyDescent="0.3">
      <c r="A24" s="9" t="s">
        <v>177</v>
      </c>
      <c r="B24" s="12" t="s">
        <v>178</v>
      </c>
      <c r="C24" s="14" t="str">
        <f>C8</f>
        <v xml:space="preserve">DARK BLUE </v>
      </c>
      <c r="D24" s="14" t="s">
        <v>43</v>
      </c>
      <c r="E24" s="14">
        <v>0</v>
      </c>
      <c r="F24" s="41">
        <f>E24*F10</f>
        <v>0</v>
      </c>
      <c r="G24" s="14">
        <f>1.6*85</f>
        <v>136</v>
      </c>
      <c r="H24" s="37">
        <f t="shared" ref="H24:H27" si="0">E24*G24</f>
        <v>0</v>
      </c>
      <c r="I24" s="38">
        <f t="shared" ref="I24:I27" si="1">F24*G24</f>
        <v>0</v>
      </c>
      <c r="J24" s="39">
        <v>0.18</v>
      </c>
      <c r="K24" s="40">
        <f t="shared" ref="K24:K27" si="2">I24*J24</f>
        <v>0</v>
      </c>
      <c r="L24" s="41">
        <f t="shared" ref="L24:L27" si="3">I24+K24</f>
        <v>0</v>
      </c>
    </row>
    <row r="25" spans="1:12" x14ac:dyDescent="0.3">
      <c r="A25" s="12"/>
      <c r="B25" s="12" t="s">
        <v>161</v>
      </c>
      <c r="C25" s="14" t="s">
        <v>162</v>
      </c>
      <c r="D25" s="14" t="s">
        <v>43</v>
      </c>
      <c r="E25" s="14">
        <v>13</v>
      </c>
      <c r="F25" s="41">
        <f>E25*F10</f>
        <v>13</v>
      </c>
      <c r="G25" s="14">
        <v>6.5</v>
      </c>
      <c r="H25" s="37">
        <f t="shared" si="0"/>
        <v>84.5</v>
      </c>
      <c r="I25" s="38">
        <f t="shared" si="1"/>
        <v>84.5</v>
      </c>
      <c r="J25" s="39">
        <v>0.18</v>
      </c>
      <c r="K25" s="40">
        <f t="shared" si="2"/>
        <v>15.209999999999999</v>
      </c>
      <c r="L25" s="41">
        <f t="shared" si="3"/>
        <v>99.71</v>
      </c>
    </row>
    <row r="26" spans="1:12" x14ac:dyDescent="0.3">
      <c r="A26" s="12"/>
      <c r="B26" s="12" t="s">
        <v>165</v>
      </c>
      <c r="C26" s="14" t="s">
        <v>164</v>
      </c>
      <c r="D26" s="14" t="s">
        <v>166</v>
      </c>
      <c r="E26" s="14">
        <v>7</v>
      </c>
      <c r="F26" s="41">
        <f>E26*F10</f>
        <v>7</v>
      </c>
      <c r="G26" s="14">
        <v>3</v>
      </c>
      <c r="H26" s="37">
        <f t="shared" si="0"/>
        <v>21</v>
      </c>
      <c r="I26" s="38">
        <f t="shared" si="1"/>
        <v>21</v>
      </c>
      <c r="J26" s="39">
        <v>0.18</v>
      </c>
      <c r="K26" s="40">
        <f t="shared" si="2"/>
        <v>3.78</v>
      </c>
      <c r="L26" s="41">
        <f t="shared" si="3"/>
        <v>24.78</v>
      </c>
    </row>
    <row r="27" spans="1:12" x14ac:dyDescent="0.3">
      <c r="A27" s="12"/>
      <c r="B27" s="12" t="s">
        <v>179</v>
      </c>
      <c r="C27" s="14" t="s">
        <v>164</v>
      </c>
      <c r="D27" s="14" t="s">
        <v>166</v>
      </c>
      <c r="E27" s="14">
        <v>0.5</v>
      </c>
      <c r="F27" s="41">
        <f>E27*F10</f>
        <v>0.5</v>
      </c>
      <c r="G27" s="14">
        <v>15</v>
      </c>
      <c r="H27" s="37">
        <f t="shared" si="0"/>
        <v>7.5</v>
      </c>
      <c r="I27" s="38">
        <f t="shared" si="1"/>
        <v>7.5</v>
      </c>
      <c r="J27" s="39">
        <v>0.18</v>
      </c>
      <c r="K27" s="40">
        <f t="shared" si="2"/>
        <v>1.3499999999999999</v>
      </c>
      <c r="L27" s="41">
        <f t="shared" si="3"/>
        <v>8.85</v>
      </c>
    </row>
    <row r="28" spans="1:12" x14ac:dyDescent="0.3">
      <c r="A28" s="12"/>
      <c r="B28" s="12"/>
      <c r="C28" s="14"/>
      <c r="D28" s="14"/>
      <c r="E28" s="14"/>
      <c r="F28" s="12"/>
      <c r="G28" s="14"/>
      <c r="H28" s="37"/>
      <c r="I28" s="38"/>
      <c r="J28" s="39"/>
      <c r="K28" s="40"/>
      <c r="L28" s="41"/>
    </row>
    <row r="29" spans="1:12" x14ac:dyDescent="0.3">
      <c r="A29" s="12" t="s">
        <v>47</v>
      </c>
      <c r="B29" s="12"/>
      <c r="C29" s="14"/>
      <c r="D29" s="14"/>
      <c r="E29" s="14"/>
      <c r="F29" s="41"/>
      <c r="G29" s="14"/>
      <c r="H29" s="37"/>
      <c r="I29" s="38"/>
      <c r="J29" s="39"/>
      <c r="K29" s="40"/>
      <c r="L29" s="41"/>
    </row>
    <row r="30" spans="1:12" x14ac:dyDescent="0.3">
      <c r="A30" s="12"/>
      <c r="B30" s="12" t="s">
        <v>168</v>
      </c>
      <c r="C30" s="14" t="s">
        <v>36</v>
      </c>
      <c r="D30" s="14" t="s">
        <v>43</v>
      </c>
      <c r="E30" s="14">
        <v>1</v>
      </c>
      <c r="F30" s="41">
        <f>E30*F10</f>
        <v>1</v>
      </c>
      <c r="G30" s="14">
        <v>7.5</v>
      </c>
      <c r="H30" s="37">
        <f>E30*G30</f>
        <v>7.5</v>
      </c>
      <c r="I30" s="38">
        <f>F30*G30</f>
        <v>7.5</v>
      </c>
      <c r="J30" s="39">
        <v>0.12</v>
      </c>
      <c r="K30" s="40">
        <f>I30*J30</f>
        <v>0.89999999999999991</v>
      </c>
      <c r="L30" s="41">
        <f>I30+K30</f>
        <v>8.4</v>
      </c>
    </row>
    <row r="31" spans="1:12" x14ac:dyDescent="0.3">
      <c r="A31" s="12"/>
      <c r="B31" s="12" t="s">
        <v>169</v>
      </c>
      <c r="C31" s="14" t="s">
        <v>36</v>
      </c>
      <c r="D31" s="14" t="s">
        <v>43</v>
      </c>
      <c r="E31" s="14">
        <v>0</v>
      </c>
      <c r="F31" s="41">
        <f>E31*F10</f>
        <v>0</v>
      </c>
      <c r="G31" s="14">
        <v>4</v>
      </c>
      <c r="H31" s="37">
        <f>E31*G31</f>
        <v>0</v>
      </c>
      <c r="I31" s="38">
        <f>F31*G31</f>
        <v>0</v>
      </c>
      <c r="J31" s="39">
        <v>0.12</v>
      </c>
      <c r="K31" s="40">
        <f>I31*J31</f>
        <v>0</v>
      </c>
      <c r="L31" s="41">
        <f>I31+K31</f>
        <v>0</v>
      </c>
    </row>
    <row r="32" spans="1:12" x14ac:dyDescent="0.3">
      <c r="A32" s="12"/>
      <c r="B32" s="12" t="s">
        <v>49</v>
      </c>
      <c r="C32" s="14" t="s">
        <v>36</v>
      </c>
      <c r="D32" s="14" t="s">
        <v>43</v>
      </c>
      <c r="E32" s="14">
        <v>0</v>
      </c>
      <c r="F32" s="41">
        <f>E32*F10</f>
        <v>0</v>
      </c>
      <c r="G32" s="14">
        <v>3.5</v>
      </c>
      <c r="H32" s="37">
        <f>E32*G32</f>
        <v>0</v>
      </c>
      <c r="I32" s="38">
        <f>F32*G32</f>
        <v>0</v>
      </c>
      <c r="J32" s="39">
        <v>0.12</v>
      </c>
      <c r="K32" s="40">
        <f>I32*J32</f>
        <v>0</v>
      </c>
      <c r="L32" s="41">
        <f>I32+K32</f>
        <v>0</v>
      </c>
    </row>
    <row r="33" spans="1:12" x14ac:dyDescent="0.3">
      <c r="A33" s="9"/>
      <c r="B33" s="12" t="s">
        <v>50</v>
      </c>
      <c r="C33" s="14" t="s">
        <v>36</v>
      </c>
      <c r="D33" s="14" t="s">
        <v>43</v>
      </c>
      <c r="E33" s="14">
        <v>1</v>
      </c>
      <c r="F33" s="41">
        <f>E33*F10</f>
        <v>1</v>
      </c>
      <c r="G33" s="14">
        <v>4</v>
      </c>
      <c r="H33" s="37">
        <v>4</v>
      </c>
      <c r="I33" s="38">
        <f>F33*G33</f>
        <v>4</v>
      </c>
      <c r="J33" s="39">
        <v>0.12</v>
      </c>
      <c r="K33" s="40">
        <f>I33*J33</f>
        <v>0.48</v>
      </c>
      <c r="L33" s="41">
        <f>I33+K33</f>
        <v>4.4800000000000004</v>
      </c>
    </row>
    <row r="34" spans="1:12" x14ac:dyDescent="0.3">
      <c r="A34" s="9"/>
      <c r="B34" s="12"/>
      <c r="C34" s="14"/>
      <c r="D34" s="14"/>
      <c r="E34" s="14"/>
      <c r="F34" s="41"/>
      <c r="G34" s="14"/>
      <c r="H34" s="12"/>
      <c r="I34" s="41"/>
      <c r="J34" s="39"/>
      <c r="K34" s="41"/>
      <c r="L34" s="41"/>
    </row>
    <row r="35" spans="1:12" ht="21.6" x14ac:dyDescent="0.3">
      <c r="A35" s="100" t="s">
        <v>51</v>
      </c>
      <c r="B35" s="21" t="s">
        <v>52</v>
      </c>
      <c r="C35" s="23" t="s">
        <v>36</v>
      </c>
      <c r="D35" s="23" t="s">
        <v>43</v>
      </c>
      <c r="E35" s="23">
        <v>0</v>
      </c>
      <c r="F35" s="45">
        <f>F10*E35</f>
        <v>0</v>
      </c>
      <c r="G35" s="23">
        <v>12</v>
      </c>
      <c r="H35" s="46">
        <f t="shared" ref="H35:H40" si="4">E35*G35</f>
        <v>0</v>
      </c>
      <c r="I35" s="47">
        <f t="shared" ref="I35:I39" si="5">F35*G35</f>
        <v>0</v>
      </c>
      <c r="J35" s="48">
        <v>0.18</v>
      </c>
      <c r="K35" s="49">
        <f t="shared" ref="K35:K40" si="6">I35*J35</f>
        <v>0</v>
      </c>
      <c r="L35" s="45">
        <f t="shared" ref="L35:L41" si="7">I35+K35</f>
        <v>0</v>
      </c>
    </row>
    <row r="36" spans="1:12" x14ac:dyDescent="0.3">
      <c r="A36" s="12"/>
      <c r="B36" s="12" t="s">
        <v>53</v>
      </c>
      <c r="C36" s="14" t="s">
        <v>36</v>
      </c>
      <c r="D36" s="14" t="s">
        <v>43</v>
      </c>
      <c r="E36" s="14">
        <v>0</v>
      </c>
      <c r="F36" s="41">
        <f>E36*F10</f>
        <v>0</v>
      </c>
      <c r="G36" s="14">
        <v>5</v>
      </c>
      <c r="H36" s="37">
        <f t="shared" si="4"/>
        <v>0</v>
      </c>
      <c r="I36" s="38">
        <f t="shared" si="5"/>
        <v>0</v>
      </c>
      <c r="J36" s="39">
        <v>0.18</v>
      </c>
      <c r="K36" s="40">
        <f t="shared" si="6"/>
        <v>0</v>
      </c>
      <c r="L36" s="41">
        <f t="shared" si="7"/>
        <v>0</v>
      </c>
    </row>
    <row r="37" spans="1:12" x14ac:dyDescent="0.3">
      <c r="A37" s="12"/>
      <c r="B37" s="12" t="s">
        <v>54</v>
      </c>
      <c r="C37" s="14" t="s">
        <v>36</v>
      </c>
      <c r="D37" s="14" t="s">
        <v>55</v>
      </c>
      <c r="E37" s="14">
        <v>0</v>
      </c>
      <c r="F37" s="41">
        <f>E37*F10</f>
        <v>0</v>
      </c>
      <c r="G37" s="14">
        <v>12</v>
      </c>
      <c r="H37" s="37">
        <f t="shared" si="4"/>
        <v>0</v>
      </c>
      <c r="I37" s="38">
        <f t="shared" si="5"/>
        <v>0</v>
      </c>
      <c r="J37" s="39">
        <v>0.18</v>
      </c>
      <c r="K37" s="40">
        <f t="shared" si="6"/>
        <v>0</v>
      </c>
      <c r="L37" s="41">
        <f t="shared" si="7"/>
        <v>0</v>
      </c>
    </row>
    <row r="38" spans="1:12" x14ac:dyDescent="0.3">
      <c r="A38" s="12"/>
      <c r="B38" s="12" t="s">
        <v>56</v>
      </c>
      <c r="C38" s="14" t="s">
        <v>36</v>
      </c>
      <c r="D38" s="14" t="s">
        <v>55</v>
      </c>
      <c r="E38" s="14">
        <v>0</v>
      </c>
      <c r="F38" s="41">
        <f>E38*F10</f>
        <v>0</v>
      </c>
      <c r="G38" s="14">
        <v>115</v>
      </c>
      <c r="H38" s="37">
        <f t="shared" si="4"/>
        <v>0</v>
      </c>
      <c r="I38" s="38">
        <f>H38*F10</f>
        <v>0</v>
      </c>
      <c r="J38" s="39">
        <v>0.18</v>
      </c>
      <c r="K38" s="40">
        <f t="shared" si="6"/>
        <v>0</v>
      </c>
      <c r="L38" s="41">
        <f t="shared" si="7"/>
        <v>0</v>
      </c>
    </row>
    <row r="39" spans="1:12" x14ac:dyDescent="0.3">
      <c r="A39" s="12"/>
      <c r="B39" s="12" t="s">
        <v>57</v>
      </c>
      <c r="C39" s="14" t="s">
        <v>36</v>
      </c>
      <c r="D39" s="14" t="s">
        <v>58</v>
      </c>
      <c r="E39" s="14">
        <v>0</v>
      </c>
      <c r="F39" s="41">
        <f>E39*F10</f>
        <v>0</v>
      </c>
      <c r="G39" s="14">
        <v>1.35</v>
      </c>
      <c r="H39" s="37">
        <f t="shared" si="4"/>
        <v>0</v>
      </c>
      <c r="I39" s="38">
        <f t="shared" si="5"/>
        <v>0</v>
      </c>
      <c r="J39" s="39">
        <v>0.18</v>
      </c>
      <c r="K39" s="40">
        <f t="shared" si="6"/>
        <v>0</v>
      </c>
      <c r="L39" s="41">
        <f t="shared" si="7"/>
        <v>0</v>
      </c>
    </row>
    <row r="40" spans="1:12" x14ac:dyDescent="0.3">
      <c r="A40" s="12"/>
      <c r="B40" s="12" t="s">
        <v>59</v>
      </c>
      <c r="C40" s="14" t="s">
        <v>36</v>
      </c>
      <c r="D40" s="14" t="s">
        <v>43</v>
      </c>
      <c r="E40" s="14">
        <v>0</v>
      </c>
      <c r="F40" s="41">
        <f>E40*F10</f>
        <v>0</v>
      </c>
      <c r="G40" s="14">
        <v>168</v>
      </c>
      <c r="H40" s="37">
        <f t="shared" si="4"/>
        <v>0</v>
      </c>
      <c r="I40" s="38">
        <f>F40*G40</f>
        <v>0</v>
      </c>
      <c r="J40" s="39">
        <v>0.18</v>
      </c>
      <c r="K40" s="40">
        <f t="shared" si="6"/>
        <v>0</v>
      </c>
      <c r="L40" s="41">
        <f t="shared" si="7"/>
        <v>0</v>
      </c>
    </row>
    <row r="41" spans="1:12" x14ac:dyDescent="0.3">
      <c r="A41" s="12"/>
      <c r="B41" s="12" t="s">
        <v>60</v>
      </c>
      <c r="C41" s="14" t="s">
        <v>61</v>
      </c>
      <c r="D41" s="14" t="s">
        <v>62</v>
      </c>
      <c r="E41" s="14">
        <v>0</v>
      </c>
      <c r="F41" s="41">
        <f>E41*F10</f>
        <v>0</v>
      </c>
      <c r="G41" s="14">
        <v>54</v>
      </c>
      <c r="H41" s="37">
        <f>E41*G41</f>
        <v>0</v>
      </c>
      <c r="I41" s="38">
        <f>F41*G41</f>
        <v>0</v>
      </c>
      <c r="J41" s="39">
        <v>0.18</v>
      </c>
      <c r="K41" s="40">
        <f>I41*J41</f>
        <v>0</v>
      </c>
      <c r="L41" s="41">
        <f t="shared" si="7"/>
        <v>0</v>
      </c>
    </row>
    <row r="42" spans="1:12" x14ac:dyDescent="0.3">
      <c r="A42" s="12"/>
      <c r="B42" s="12"/>
      <c r="C42" s="14"/>
      <c r="D42" s="14"/>
      <c r="E42" s="14"/>
      <c r="F42" s="41"/>
      <c r="G42" s="14"/>
      <c r="H42" s="50">
        <f>SUM(H13:H41)</f>
        <v>313.03999999999996</v>
      </c>
      <c r="I42" s="50">
        <f>SUM(I13:I41)</f>
        <v>313.03999999999996</v>
      </c>
      <c r="J42" s="51"/>
      <c r="K42" s="52">
        <f>SUM(K13:K41)</f>
        <v>44.344799999999999</v>
      </c>
      <c r="L42" s="53">
        <f>SUM(L13:L41)</f>
        <v>357.38480000000004</v>
      </c>
    </row>
    <row r="43" spans="1:12" x14ac:dyDescent="0.3">
      <c r="A43" s="12" t="s">
        <v>63</v>
      </c>
      <c r="B43" s="12" t="s">
        <v>64</v>
      </c>
      <c r="C43" s="15"/>
      <c r="D43" s="14" t="s">
        <v>43</v>
      </c>
      <c r="E43" s="14">
        <f>C43*1%</f>
        <v>0</v>
      </c>
      <c r="F43" s="41">
        <f>F10</f>
        <v>1</v>
      </c>
      <c r="G43" s="14">
        <f>E43</f>
        <v>0</v>
      </c>
      <c r="H43" s="38">
        <f>G43</f>
        <v>0</v>
      </c>
      <c r="I43" s="38">
        <f>H43*F43</f>
        <v>0</v>
      </c>
      <c r="J43" s="39">
        <v>0.18</v>
      </c>
      <c r="K43" s="40">
        <f t="shared" ref="K43:K51" si="8">I43*J43</f>
        <v>0</v>
      </c>
      <c r="L43" s="41">
        <f t="shared" ref="L43:L51" si="9">I43+K43</f>
        <v>0</v>
      </c>
    </row>
    <row r="44" spans="1:12" x14ac:dyDescent="0.3">
      <c r="A44" s="12"/>
      <c r="B44" s="12" t="s">
        <v>65</v>
      </c>
      <c r="C44" s="15"/>
      <c r="D44" s="14" t="s">
        <v>43</v>
      </c>
      <c r="E44" s="14">
        <f>C44*1%</f>
        <v>0</v>
      </c>
      <c r="F44" s="41">
        <f>F10</f>
        <v>1</v>
      </c>
      <c r="G44" s="14">
        <f>E44</f>
        <v>0</v>
      </c>
      <c r="H44" s="38">
        <f>G44</f>
        <v>0</v>
      </c>
      <c r="I44" s="38">
        <f>H44*F44</f>
        <v>0</v>
      </c>
      <c r="J44" s="39">
        <v>0.18</v>
      </c>
      <c r="K44" s="40">
        <f t="shared" si="8"/>
        <v>0</v>
      </c>
      <c r="L44" s="41">
        <f t="shared" si="9"/>
        <v>0</v>
      </c>
    </row>
    <row r="45" spans="1:12" x14ac:dyDescent="0.3">
      <c r="A45" s="12"/>
      <c r="B45" s="12" t="s">
        <v>66</v>
      </c>
      <c r="C45" s="15"/>
      <c r="D45" s="14" t="s">
        <v>43</v>
      </c>
      <c r="E45" s="14">
        <f>C45*5%</f>
        <v>0</v>
      </c>
      <c r="F45" s="41">
        <f>F10</f>
        <v>1</v>
      </c>
      <c r="G45" s="14">
        <f t="shared" ref="G45:G49" si="10">E45</f>
        <v>0</v>
      </c>
      <c r="H45" s="38">
        <f t="shared" ref="H45:H50" si="11">G45</f>
        <v>0</v>
      </c>
      <c r="I45" s="38">
        <f>H45*F45</f>
        <v>0</v>
      </c>
      <c r="J45" s="39"/>
      <c r="K45" s="40">
        <f t="shared" si="8"/>
        <v>0</v>
      </c>
      <c r="L45" s="41">
        <f t="shared" si="9"/>
        <v>0</v>
      </c>
    </row>
    <row r="46" spans="1:12" x14ac:dyDescent="0.3">
      <c r="A46" s="12"/>
      <c r="B46" s="12" t="s">
        <v>67</v>
      </c>
      <c r="C46" s="15"/>
      <c r="D46" s="14" t="s">
        <v>43</v>
      </c>
      <c r="E46" s="14">
        <f>C46*7%</f>
        <v>0</v>
      </c>
      <c r="F46" s="41">
        <f>F10</f>
        <v>1</v>
      </c>
      <c r="G46" s="14">
        <f t="shared" si="10"/>
        <v>0</v>
      </c>
      <c r="H46" s="38">
        <f t="shared" si="11"/>
        <v>0</v>
      </c>
      <c r="I46" s="38">
        <f>H46*F46</f>
        <v>0</v>
      </c>
      <c r="J46" s="12"/>
      <c r="K46" s="40">
        <f t="shared" si="8"/>
        <v>0</v>
      </c>
      <c r="L46" s="41">
        <f t="shared" si="9"/>
        <v>0</v>
      </c>
    </row>
    <row r="47" spans="1:12" x14ac:dyDescent="0.3">
      <c r="A47" s="9" t="s">
        <v>68</v>
      </c>
      <c r="B47" s="12" t="s">
        <v>69</v>
      </c>
      <c r="C47" s="15"/>
      <c r="D47" s="14" t="s">
        <v>43</v>
      </c>
      <c r="E47" s="14">
        <f>C47*2.5%</f>
        <v>0</v>
      </c>
      <c r="F47" s="41">
        <f>F10</f>
        <v>1</v>
      </c>
      <c r="G47" s="14">
        <f t="shared" si="10"/>
        <v>0</v>
      </c>
      <c r="H47" s="38">
        <f t="shared" si="11"/>
        <v>0</v>
      </c>
      <c r="I47" s="38">
        <f t="shared" ref="I47:I51" si="12">H47*F47</f>
        <v>0</v>
      </c>
      <c r="J47" s="12"/>
      <c r="K47" s="40">
        <f t="shared" si="8"/>
        <v>0</v>
      </c>
      <c r="L47" s="41">
        <f t="shared" si="9"/>
        <v>0</v>
      </c>
    </row>
    <row r="48" spans="1:12" x14ac:dyDescent="0.3">
      <c r="A48" s="12"/>
      <c r="B48" s="12" t="s">
        <v>70</v>
      </c>
      <c r="C48" s="15"/>
      <c r="D48" s="14" t="s">
        <v>43</v>
      </c>
      <c r="E48" s="14">
        <f>C48*2%</f>
        <v>0</v>
      </c>
      <c r="F48" s="41">
        <f>F10</f>
        <v>1</v>
      </c>
      <c r="G48" s="14">
        <f t="shared" si="10"/>
        <v>0</v>
      </c>
      <c r="H48" s="38">
        <f t="shared" si="11"/>
        <v>0</v>
      </c>
      <c r="I48" s="38">
        <f t="shared" si="12"/>
        <v>0</v>
      </c>
      <c r="J48" s="12"/>
      <c r="K48" s="40">
        <f t="shared" si="8"/>
        <v>0</v>
      </c>
      <c r="L48" s="41">
        <f t="shared" si="9"/>
        <v>0</v>
      </c>
    </row>
    <row r="49" spans="1:12" x14ac:dyDescent="0.3">
      <c r="A49" s="12"/>
      <c r="B49" s="12" t="s">
        <v>71</v>
      </c>
      <c r="C49" s="15"/>
      <c r="D49" s="14" t="s">
        <v>43</v>
      </c>
      <c r="E49" s="14">
        <v>750</v>
      </c>
      <c r="F49" s="41">
        <f>F10</f>
        <v>1</v>
      </c>
      <c r="G49" s="14">
        <f t="shared" si="10"/>
        <v>750</v>
      </c>
      <c r="H49" s="38">
        <f t="shared" si="11"/>
        <v>750</v>
      </c>
      <c r="I49" s="38">
        <f t="shared" si="12"/>
        <v>750</v>
      </c>
      <c r="J49" s="12"/>
      <c r="K49" s="40">
        <f t="shared" si="8"/>
        <v>0</v>
      </c>
      <c r="L49" s="41">
        <f t="shared" si="9"/>
        <v>750</v>
      </c>
    </row>
    <row r="50" spans="1:12" x14ac:dyDescent="0.3">
      <c r="A50" s="12"/>
      <c r="B50" s="12" t="s">
        <v>72</v>
      </c>
      <c r="C50" s="15">
        <f>B55</f>
        <v>1105</v>
      </c>
      <c r="D50" s="14" t="s">
        <v>43</v>
      </c>
      <c r="E50" s="14">
        <f>C50*5%</f>
        <v>55.25</v>
      </c>
      <c r="F50" s="41">
        <f>F10</f>
        <v>1</v>
      </c>
      <c r="G50" s="14">
        <f>E50</f>
        <v>55.25</v>
      </c>
      <c r="H50" s="38">
        <f t="shared" si="11"/>
        <v>55.25</v>
      </c>
      <c r="I50" s="38">
        <f t="shared" si="12"/>
        <v>55.25</v>
      </c>
      <c r="J50" s="12"/>
      <c r="K50" s="40">
        <f t="shared" si="8"/>
        <v>0</v>
      </c>
      <c r="L50" s="41">
        <f t="shared" si="9"/>
        <v>55.25</v>
      </c>
    </row>
    <row r="51" spans="1:12" x14ac:dyDescent="0.3">
      <c r="A51" s="12" t="s">
        <v>73</v>
      </c>
      <c r="B51" s="54" t="s">
        <v>74</v>
      </c>
      <c r="C51" s="55"/>
      <c r="D51" s="55" t="s">
        <v>43</v>
      </c>
      <c r="E51" s="55">
        <v>0</v>
      </c>
      <c r="F51" s="41">
        <f>F10</f>
        <v>1</v>
      </c>
      <c r="G51" s="55">
        <v>0</v>
      </c>
      <c r="H51" s="56">
        <v>0</v>
      </c>
      <c r="I51" s="38">
        <f t="shared" si="12"/>
        <v>0</v>
      </c>
      <c r="J51" s="54"/>
      <c r="K51" s="57">
        <f t="shared" si="8"/>
        <v>0</v>
      </c>
      <c r="L51" s="58">
        <f t="shared" si="9"/>
        <v>0</v>
      </c>
    </row>
    <row r="52" spans="1:12" x14ac:dyDescent="0.3">
      <c r="A52" s="2"/>
      <c r="B52" s="2"/>
      <c r="C52" s="1"/>
      <c r="D52" s="1"/>
      <c r="E52" s="1"/>
      <c r="F52" s="59">
        <f>F10</f>
        <v>1</v>
      </c>
      <c r="G52" s="1"/>
      <c r="H52" s="59">
        <f>SUM(H42:H51)</f>
        <v>1118.29</v>
      </c>
      <c r="I52" s="59">
        <f>SUM(I42:I51)</f>
        <v>1118.29</v>
      </c>
      <c r="J52" s="60"/>
      <c r="K52" s="59">
        <f>SUM(K42:K51)</f>
        <v>44.344799999999999</v>
      </c>
      <c r="L52" s="59">
        <f>SUM(L42:L51)</f>
        <v>1162.6348</v>
      </c>
    </row>
    <row r="53" spans="1:12" ht="46.2" customHeight="1" x14ac:dyDescent="0.3">
      <c r="A53" s="2"/>
      <c r="B53" s="2"/>
      <c r="C53" s="1"/>
      <c r="D53" s="1"/>
      <c r="E53" s="1"/>
      <c r="F53" s="2"/>
      <c r="G53" s="62" t="s">
        <v>75</v>
      </c>
      <c r="H53" s="2"/>
      <c r="I53" s="2"/>
      <c r="J53" s="2"/>
      <c r="K53" s="61"/>
      <c r="L53" s="2"/>
    </row>
    <row r="54" spans="1:12" ht="18" x14ac:dyDescent="0.35">
      <c r="A54" s="63" t="s">
        <v>76</v>
      </c>
      <c r="B54" s="64">
        <v>13</v>
      </c>
      <c r="C54" s="122" t="s">
        <v>77</v>
      </c>
      <c r="D54" s="122"/>
      <c r="E54" s="122"/>
      <c r="F54" s="122"/>
      <c r="G54" s="65">
        <f>G11</f>
        <v>0</v>
      </c>
      <c r="H54" s="1"/>
      <c r="I54" s="1"/>
      <c r="J54" s="2"/>
      <c r="K54" s="2"/>
      <c r="L54" s="2"/>
    </row>
    <row r="55" spans="1:12" ht="18" x14ac:dyDescent="0.35">
      <c r="A55" s="63">
        <v>85</v>
      </c>
      <c r="B55" s="63">
        <f>B54*A55</f>
        <v>1105</v>
      </c>
      <c r="C55" s="122" t="s">
        <v>78</v>
      </c>
      <c r="D55" s="122"/>
      <c r="E55" s="122"/>
      <c r="F55" s="122"/>
      <c r="G55" s="65">
        <f>I52/F10</f>
        <v>1118.29</v>
      </c>
      <c r="H55" s="1"/>
      <c r="I55" s="1"/>
      <c r="J55" s="2"/>
      <c r="K55" s="2"/>
      <c r="L55" s="2"/>
    </row>
    <row r="56" spans="1:12" x14ac:dyDescent="0.3">
      <c r="A56" s="2"/>
      <c r="B56" s="2"/>
      <c r="C56" s="130" t="s">
        <v>79</v>
      </c>
      <c r="D56" s="130"/>
      <c r="E56" s="130"/>
      <c r="F56" s="130"/>
      <c r="G56" s="67">
        <f>SUM(G54:G55)</f>
        <v>1118.29</v>
      </c>
      <c r="H56" s="1"/>
      <c r="I56" s="1"/>
      <c r="J56" s="2"/>
      <c r="K56" s="2"/>
      <c r="L56" s="2"/>
    </row>
    <row r="57" spans="1:12" ht="18" x14ac:dyDescent="0.35">
      <c r="A57" s="63" t="s">
        <v>76</v>
      </c>
      <c r="B57" s="64">
        <f>H58</f>
        <v>11.771473684210527</v>
      </c>
      <c r="C57" s="2"/>
      <c r="G57" s="1"/>
      <c r="H57" s="1"/>
      <c r="I57" s="1"/>
      <c r="J57" s="2"/>
      <c r="K57" s="2"/>
      <c r="L57" s="2"/>
    </row>
    <row r="58" spans="1:12" ht="18" x14ac:dyDescent="0.35">
      <c r="A58" s="63">
        <v>95</v>
      </c>
      <c r="B58" s="64">
        <f>B57*A58</f>
        <v>1118.29</v>
      </c>
      <c r="C58" s="2"/>
      <c r="G58" s="68">
        <f>G56/A55</f>
        <v>13.15635294117647</v>
      </c>
      <c r="H58" s="69">
        <f>G56/A58</f>
        <v>11.771473684210527</v>
      </c>
      <c r="I58" s="1"/>
      <c r="J58" s="2"/>
      <c r="K58" s="2"/>
      <c r="L58" s="2"/>
    </row>
    <row r="59" spans="1:12" x14ac:dyDescent="0.3">
      <c r="A59" s="2"/>
      <c r="D59" s="70" t="s">
        <v>80</v>
      </c>
      <c r="E59" s="1"/>
      <c r="F59" s="71"/>
      <c r="G59" s="71"/>
      <c r="H59" s="1"/>
      <c r="I59" s="1"/>
      <c r="J59" s="2"/>
      <c r="K59" s="2"/>
      <c r="L59" s="2"/>
    </row>
    <row r="60" spans="1:12" x14ac:dyDescent="0.3">
      <c r="A60" s="2"/>
      <c r="D60" s="72" t="s">
        <v>81</v>
      </c>
      <c r="E60" s="73">
        <f>I52/F52</f>
        <v>1118.29</v>
      </c>
      <c r="F60" s="74" t="s">
        <v>20</v>
      </c>
      <c r="G60" s="71"/>
      <c r="H60" s="1"/>
      <c r="I60" s="1"/>
      <c r="J60" s="2"/>
      <c r="K60" s="2"/>
      <c r="L60" s="2"/>
    </row>
    <row r="61" spans="1:12" ht="14.4" customHeight="1" x14ac:dyDescent="0.3">
      <c r="A61" s="2"/>
      <c r="C61" s="2"/>
      <c r="D61" s="72" t="s">
        <v>21</v>
      </c>
      <c r="E61" s="73">
        <f>L52/F52</f>
        <v>1162.6348</v>
      </c>
      <c r="F61" s="74" t="s">
        <v>20</v>
      </c>
      <c r="G61" s="71"/>
      <c r="H61" s="1"/>
      <c r="I61" s="1"/>
      <c r="J61" s="2"/>
      <c r="K61" s="2"/>
      <c r="L61" s="2"/>
    </row>
    <row r="62" spans="1:12" ht="14.4" customHeight="1" x14ac:dyDescent="0.3">
      <c r="A62" s="2"/>
      <c r="C62" s="1"/>
      <c r="D62" s="76"/>
      <c r="E62" s="71"/>
      <c r="F62" s="71"/>
      <c r="G62" s="1"/>
      <c r="H62" s="2"/>
      <c r="I62" s="2"/>
      <c r="J62" s="2"/>
      <c r="K62" s="2"/>
      <c r="L62" s="2"/>
    </row>
    <row r="63" spans="1:12" ht="14.4" customHeight="1" x14ac:dyDescent="0.3">
      <c r="D63" s="77" t="s">
        <v>21</v>
      </c>
      <c r="E63" s="78"/>
      <c r="F63" s="79" t="s">
        <v>19</v>
      </c>
    </row>
    <row r="64" spans="1:12" x14ac:dyDescent="0.3">
      <c r="B64" s="122" t="s">
        <v>82</v>
      </c>
      <c r="C64" s="122"/>
      <c r="D64" s="65">
        <f>G12</f>
        <v>0</v>
      </c>
      <c r="E64" s="75"/>
      <c r="F64" s="80">
        <f>G11</f>
        <v>0</v>
      </c>
    </row>
    <row r="65" spans="2:6" x14ac:dyDescent="0.3">
      <c r="B65" s="124" t="s">
        <v>83</v>
      </c>
      <c r="C65" s="125"/>
      <c r="D65" s="65">
        <f>E61</f>
        <v>1162.6348</v>
      </c>
      <c r="E65" s="75"/>
      <c r="F65" s="80">
        <f>E60</f>
        <v>1118.29</v>
      </c>
    </row>
    <row r="66" spans="2:6" x14ac:dyDescent="0.3">
      <c r="B66" s="66" t="s">
        <v>79</v>
      </c>
      <c r="C66" s="66"/>
      <c r="D66" s="67">
        <f>SUM(D64:D65)</f>
        <v>1162.6348</v>
      </c>
      <c r="E66" s="78"/>
      <c r="F66" s="81">
        <f>SUM(F64:F65)</f>
        <v>1118.29</v>
      </c>
    </row>
    <row r="67" spans="2:6" x14ac:dyDescent="0.3">
      <c r="D67" s="82"/>
      <c r="E67" s="1"/>
      <c r="F67" s="71"/>
    </row>
    <row r="68" spans="2:6" x14ac:dyDescent="0.3">
      <c r="D68" s="68">
        <f>D66/A55</f>
        <v>13.678056470588237</v>
      </c>
      <c r="E68" s="1"/>
      <c r="F68" s="68">
        <f>F66/A55</f>
        <v>13.15635294117647</v>
      </c>
    </row>
    <row r="75" spans="2:6" x14ac:dyDescent="0.3">
      <c r="D75" s="43"/>
    </row>
    <row r="76" spans="2:6" x14ac:dyDescent="0.3">
      <c r="D76" s="43"/>
    </row>
    <row r="77" spans="2:6" x14ac:dyDescent="0.3">
      <c r="D77" s="43"/>
    </row>
    <row r="78" spans="2:6" x14ac:dyDescent="0.3">
      <c r="D78" s="43"/>
    </row>
    <row r="79" spans="2:6" x14ac:dyDescent="0.3">
      <c r="D79" s="43"/>
    </row>
  </sheetData>
  <mergeCells count="13">
    <mergeCell ref="A1:F1"/>
    <mergeCell ref="A2:F2"/>
    <mergeCell ref="A3:F3"/>
    <mergeCell ref="A4:F4"/>
    <mergeCell ref="D11:E11"/>
    <mergeCell ref="J6:K6"/>
    <mergeCell ref="L6:L7"/>
    <mergeCell ref="B64:C64"/>
    <mergeCell ref="B65:C65"/>
    <mergeCell ref="D12:E12"/>
    <mergeCell ref="C54:F54"/>
    <mergeCell ref="C55:F55"/>
    <mergeCell ref="C56:F56"/>
  </mergeCells>
  <pageMargins left="0.11811023622047245" right="0.11811023622047245" top="0.15748031496062992" bottom="0.15748031496062992" header="0.31496062992125984" footer="0.31496062992125984"/>
  <pageSetup paperSize="9" scale="95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4C67-BD9B-4C67-81E4-31E386583280}">
  <dimension ref="A1:N83"/>
  <sheetViews>
    <sheetView topLeftCell="A51" workbookViewId="0">
      <selection activeCell="A51" sqref="A1:XFD1048576"/>
    </sheetView>
  </sheetViews>
  <sheetFormatPr defaultRowHeight="14.4" x14ac:dyDescent="0.3"/>
  <cols>
    <col min="1" max="1" width="10.77734375" customWidth="1"/>
    <col min="2" max="2" width="41.21875" bestFit="1" customWidth="1"/>
    <col min="3" max="3" width="15" bestFit="1" customWidth="1"/>
    <col min="4" max="4" width="10.33203125" bestFit="1" customWidth="1"/>
    <col min="5" max="5" width="7.5546875" bestFit="1" customWidth="1"/>
    <col min="6" max="6" width="8.5546875" bestFit="1" customWidth="1"/>
    <col min="7" max="7" width="9.109375" style="43" bestFit="1" customWidth="1"/>
    <col min="8" max="8" width="8" bestFit="1" customWidth="1"/>
    <col min="9" max="9" width="10.44140625" bestFit="1" customWidth="1"/>
    <col min="10" max="10" width="5.44140625" bestFit="1" customWidth="1"/>
    <col min="11" max="11" width="9.44140625" bestFit="1" customWidth="1"/>
    <col min="12" max="12" width="10.44140625" bestFit="1" customWidth="1"/>
    <col min="13" max="13" width="5" bestFit="1" customWidth="1"/>
    <col min="14" max="14" width="7" bestFit="1" customWidth="1"/>
  </cols>
  <sheetData>
    <row r="1" spans="1:12" x14ac:dyDescent="0.3">
      <c r="A1" s="114" t="s">
        <v>0</v>
      </c>
      <c r="B1" s="115"/>
      <c r="C1" s="115"/>
      <c r="D1" s="115"/>
      <c r="E1" s="115"/>
      <c r="F1" s="115"/>
      <c r="G1" s="1"/>
      <c r="H1" s="2"/>
      <c r="I1" s="2"/>
      <c r="J1" s="2"/>
      <c r="K1" s="2"/>
      <c r="L1" s="2"/>
    </row>
    <row r="2" spans="1:12" x14ac:dyDescent="0.3">
      <c r="A2" s="114" t="s">
        <v>1</v>
      </c>
      <c r="B2" s="115"/>
      <c r="C2" s="115"/>
      <c r="D2" s="115"/>
      <c r="E2" s="115"/>
      <c r="F2" s="115"/>
      <c r="G2" s="1"/>
      <c r="H2" s="2"/>
      <c r="I2" s="2"/>
      <c r="J2" s="2"/>
      <c r="K2" s="2"/>
      <c r="L2" s="2"/>
    </row>
    <row r="3" spans="1:12" ht="18" x14ac:dyDescent="0.35">
      <c r="A3" s="116" t="s">
        <v>192</v>
      </c>
      <c r="B3" s="116"/>
      <c r="C3" s="116"/>
      <c r="D3" s="116"/>
      <c r="E3" s="116"/>
      <c r="F3" s="116"/>
      <c r="G3" s="3"/>
      <c r="H3" s="4"/>
      <c r="I3" s="4"/>
      <c r="J3" s="4"/>
      <c r="K3" s="4"/>
      <c r="L3" s="4"/>
    </row>
    <row r="4" spans="1:12" x14ac:dyDescent="0.3">
      <c r="G4" s="1"/>
      <c r="H4" s="2"/>
      <c r="I4" s="2"/>
      <c r="J4" s="2"/>
      <c r="K4" s="2"/>
      <c r="L4" s="2"/>
    </row>
    <row r="5" spans="1:12" ht="21" x14ac:dyDescent="0.4">
      <c r="A5" s="128" t="s">
        <v>2</v>
      </c>
      <c r="B5" s="129"/>
      <c r="C5" s="129"/>
      <c r="D5" s="129"/>
      <c r="E5" s="129"/>
      <c r="F5" s="129"/>
      <c r="G5" s="1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1"/>
      <c r="H6" s="2"/>
      <c r="I6" s="2"/>
      <c r="J6" s="2"/>
      <c r="K6" s="2"/>
      <c r="L6" s="2"/>
    </row>
    <row r="7" spans="1:12" ht="24" x14ac:dyDescent="0.3">
      <c r="A7" s="5" t="s">
        <v>3</v>
      </c>
      <c r="B7" s="6" t="s">
        <v>4</v>
      </c>
      <c r="C7" s="7" t="s">
        <v>5</v>
      </c>
      <c r="D7" s="7" t="s">
        <v>6</v>
      </c>
      <c r="E7" s="7" t="s">
        <v>7</v>
      </c>
      <c r="F7" s="6" t="s">
        <v>8</v>
      </c>
      <c r="G7" s="7" t="s">
        <v>9</v>
      </c>
      <c r="H7" s="8" t="s">
        <v>10</v>
      </c>
      <c r="I7" s="7" t="s">
        <v>11</v>
      </c>
      <c r="J7" s="117" t="s">
        <v>12</v>
      </c>
      <c r="K7" s="118"/>
      <c r="L7" s="119" t="s">
        <v>13</v>
      </c>
    </row>
    <row r="8" spans="1:12" x14ac:dyDescent="0.3">
      <c r="A8" s="9" t="s">
        <v>14</v>
      </c>
      <c r="B8" s="9"/>
      <c r="C8" s="10"/>
      <c r="D8" s="10"/>
      <c r="E8" s="10"/>
      <c r="F8" s="9"/>
      <c r="G8" s="10"/>
      <c r="H8" s="10"/>
      <c r="I8" s="10"/>
      <c r="J8" s="10" t="s">
        <v>15</v>
      </c>
      <c r="K8" s="11" t="s">
        <v>11</v>
      </c>
      <c r="L8" s="119"/>
    </row>
    <row r="9" spans="1:12" x14ac:dyDescent="0.3">
      <c r="A9" s="12"/>
      <c r="B9" s="13" t="s">
        <v>193</v>
      </c>
      <c r="C9" s="20" t="s">
        <v>89</v>
      </c>
      <c r="D9" s="14" t="s">
        <v>17</v>
      </c>
      <c r="E9" s="15">
        <v>433</v>
      </c>
      <c r="F9" s="15">
        <v>433</v>
      </c>
      <c r="G9" s="14">
        <v>9.5</v>
      </c>
      <c r="H9" s="16">
        <f>F9*G9</f>
        <v>4113.5</v>
      </c>
      <c r="I9" s="17">
        <f>F9*G9</f>
        <v>4113.5</v>
      </c>
      <c r="J9" s="18">
        <v>0.12</v>
      </c>
      <c r="K9" s="19">
        <f>I9*J9</f>
        <v>493.62</v>
      </c>
      <c r="L9" s="15">
        <f>I9+K9</f>
        <v>4607.12</v>
      </c>
    </row>
    <row r="10" spans="1:12" x14ac:dyDescent="0.3">
      <c r="A10" s="12"/>
      <c r="B10" s="13"/>
      <c r="C10" s="20"/>
      <c r="D10" s="14"/>
      <c r="E10" s="15"/>
      <c r="F10" s="15"/>
      <c r="G10" s="14"/>
      <c r="H10" s="16"/>
      <c r="I10" s="17"/>
      <c r="J10" s="18"/>
      <c r="K10" s="19"/>
      <c r="L10" s="15"/>
    </row>
    <row r="11" spans="1:12" ht="18" x14ac:dyDescent="0.3">
      <c r="A11" s="21"/>
      <c r="B11" s="13" t="s">
        <v>194</v>
      </c>
      <c r="C11" s="22"/>
      <c r="D11" s="22"/>
      <c r="E11" s="23"/>
      <c r="F11" s="24">
        <v>1</v>
      </c>
      <c r="G11" s="23"/>
      <c r="H11" s="25">
        <f>SUM(H9:H9)</f>
        <v>4113.5</v>
      </c>
      <c r="I11" s="26">
        <f>SUM(I9:I9)</f>
        <v>4113.5</v>
      </c>
      <c r="J11" s="27"/>
      <c r="K11" s="28">
        <f>SUM(K9:K9)</f>
        <v>493.62</v>
      </c>
      <c r="L11" s="29">
        <f>SUM(L9:L9)</f>
        <v>4607.12</v>
      </c>
    </row>
    <row r="12" spans="1:12" x14ac:dyDescent="0.3">
      <c r="A12" s="21"/>
      <c r="B12" s="21"/>
      <c r="C12" s="23"/>
      <c r="D12" s="30"/>
      <c r="E12" s="31"/>
      <c r="F12" s="32"/>
      <c r="G12" s="23"/>
      <c r="H12" s="25"/>
      <c r="I12" s="26"/>
      <c r="J12" s="27"/>
      <c r="K12" s="28"/>
      <c r="L12" s="29"/>
    </row>
    <row r="13" spans="1:12" x14ac:dyDescent="0.3">
      <c r="A13" s="12"/>
      <c r="B13" s="12"/>
      <c r="C13" s="14"/>
      <c r="D13" s="120" t="s">
        <v>19</v>
      </c>
      <c r="E13" s="121"/>
      <c r="F13" s="35" t="s">
        <v>20</v>
      </c>
      <c r="G13" s="36">
        <f>I11/F11</f>
        <v>4113.5</v>
      </c>
      <c r="H13" s="37"/>
      <c r="I13" s="38"/>
      <c r="J13" s="39"/>
      <c r="K13" s="40"/>
      <c r="L13" s="41"/>
    </row>
    <row r="14" spans="1:12" x14ac:dyDescent="0.3">
      <c r="A14" s="12"/>
      <c r="B14" s="12"/>
      <c r="C14" s="14"/>
      <c r="D14" s="120" t="s">
        <v>21</v>
      </c>
      <c r="E14" s="121"/>
      <c r="F14" s="35" t="s">
        <v>20</v>
      </c>
      <c r="G14" s="36">
        <f>L11/F11</f>
        <v>4607.12</v>
      </c>
      <c r="H14" s="37"/>
      <c r="I14" s="38"/>
      <c r="J14" s="39"/>
      <c r="K14" s="40"/>
      <c r="L14" s="41"/>
    </row>
    <row r="15" spans="1:12" x14ac:dyDescent="0.3">
      <c r="A15" s="12"/>
      <c r="B15" s="12"/>
      <c r="C15" s="14"/>
      <c r="D15" s="33"/>
      <c r="E15" s="34"/>
      <c r="F15" s="35"/>
      <c r="G15" s="36"/>
      <c r="H15" s="37"/>
      <c r="I15" s="38"/>
      <c r="J15" s="39"/>
      <c r="K15" s="40"/>
      <c r="L15" s="41"/>
    </row>
    <row r="16" spans="1:12" x14ac:dyDescent="0.3">
      <c r="A16" s="9" t="s">
        <v>22</v>
      </c>
      <c r="B16" s="42" t="s">
        <v>23</v>
      </c>
      <c r="C16" s="14" t="str">
        <f>C9</f>
        <v>FOREST</v>
      </c>
      <c r="D16" s="14" t="s">
        <v>24</v>
      </c>
      <c r="E16" s="14">
        <v>1</v>
      </c>
      <c r="F16" s="41">
        <f>E16*F11</f>
        <v>1</v>
      </c>
      <c r="G16" s="14">
        <v>52</v>
      </c>
      <c r="H16" s="37">
        <f>E16*G16</f>
        <v>52</v>
      </c>
      <c r="I16" s="38">
        <f>F16*G16</f>
        <v>52</v>
      </c>
      <c r="J16" s="39">
        <v>0.12</v>
      </c>
      <c r="K16" s="40">
        <f>I16*J16</f>
        <v>6.24</v>
      </c>
      <c r="L16" s="41">
        <f>I16+K16</f>
        <v>58.24</v>
      </c>
    </row>
    <row r="17" spans="1:14" x14ac:dyDescent="0.3">
      <c r="A17" s="9"/>
      <c r="B17" s="42" t="s">
        <v>90</v>
      </c>
      <c r="C17" s="14" t="str">
        <f>C9</f>
        <v>FOREST</v>
      </c>
      <c r="D17" s="14" t="s">
        <v>24</v>
      </c>
      <c r="E17" s="14">
        <v>1</v>
      </c>
      <c r="F17" s="41">
        <f>E17*F11</f>
        <v>1</v>
      </c>
      <c r="G17" s="14">
        <v>45</v>
      </c>
      <c r="H17" s="37">
        <f>E17*G17</f>
        <v>45</v>
      </c>
      <c r="I17" s="38">
        <f>F17*G17</f>
        <v>45</v>
      </c>
      <c r="J17" s="39">
        <v>0.12</v>
      </c>
      <c r="K17" s="40">
        <f>I17*J17</f>
        <v>5.3999999999999995</v>
      </c>
      <c r="L17" s="41">
        <f>I17+K17</f>
        <v>50.4</v>
      </c>
    </row>
    <row r="18" spans="1:14" x14ac:dyDescent="0.3">
      <c r="A18" s="9"/>
      <c r="B18" s="42"/>
      <c r="C18" s="14"/>
      <c r="D18" s="14"/>
      <c r="E18" s="14"/>
      <c r="F18" s="41"/>
      <c r="G18" s="14"/>
      <c r="H18" s="37"/>
      <c r="I18" s="38"/>
      <c r="J18" s="39"/>
      <c r="K18" s="40"/>
      <c r="L18" s="41"/>
    </row>
    <row r="19" spans="1:14" x14ac:dyDescent="0.3">
      <c r="A19" s="9" t="s">
        <v>26</v>
      </c>
      <c r="B19" s="12" t="s">
        <v>27</v>
      </c>
      <c r="C19" s="14" t="str">
        <f>C9</f>
        <v>FOREST</v>
      </c>
      <c r="D19" s="14" t="s">
        <v>28</v>
      </c>
      <c r="E19" s="14">
        <v>100</v>
      </c>
      <c r="F19" s="41">
        <f>E19*F11</f>
        <v>100</v>
      </c>
      <c r="G19" s="14">
        <v>125</v>
      </c>
      <c r="H19" s="37">
        <f>F19/1000*G19/F11</f>
        <v>12.5</v>
      </c>
      <c r="I19" s="38">
        <f>F19/1000*G19</f>
        <v>12.5</v>
      </c>
      <c r="J19" s="39">
        <v>0.12</v>
      </c>
      <c r="K19" s="40">
        <f>I19*J19</f>
        <v>1.5</v>
      </c>
      <c r="L19" s="41">
        <f>I19+K19</f>
        <v>14</v>
      </c>
    </row>
    <row r="20" spans="1:14" x14ac:dyDescent="0.3">
      <c r="A20" s="9"/>
      <c r="B20" s="12" t="s">
        <v>29</v>
      </c>
      <c r="C20" s="14" t="str">
        <f>C9</f>
        <v>FOREST</v>
      </c>
      <c r="D20" s="14" t="s">
        <v>28</v>
      </c>
      <c r="E20" s="14">
        <v>100</v>
      </c>
      <c r="F20" s="41">
        <f>E20*F11</f>
        <v>100</v>
      </c>
      <c r="G20" s="14">
        <v>257</v>
      </c>
      <c r="H20" s="37">
        <f>F20/5000*G20/F11</f>
        <v>5.14</v>
      </c>
      <c r="I20" s="38">
        <f>H20*F11</f>
        <v>5.14</v>
      </c>
      <c r="J20" s="39">
        <v>0.12</v>
      </c>
      <c r="K20" s="40">
        <f>I20*J20</f>
        <v>0.6167999999999999</v>
      </c>
      <c r="L20" s="41">
        <f>I20+K20</f>
        <v>5.7567999999999993</v>
      </c>
    </row>
    <row r="21" spans="1:14" x14ac:dyDescent="0.3">
      <c r="A21" s="9"/>
      <c r="B21" s="12" t="s">
        <v>30</v>
      </c>
      <c r="C21" s="14" t="str">
        <f>C9</f>
        <v>FOREST</v>
      </c>
      <c r="D21" s="14" t="s">
        <v>28</v>
      </c>
      <c r="E21" s="14">
        <v>50</v>
      </c>
      <c r="F21" s="41">
        <f>E21*F11</f>
        <v>50</v>
      </c>
      <c r="G21" s="14">
        <v>162</v>
      </c>
      <c r="H21" s="37">
        <f>F21/1000*G21/F11</f>
        <v>8.1</v>
      </c>
      <c r="I21" s="38">
        <f>F21/1000*G21</f>
        <v>8.1</v>
      </c>
      <c r="J21" s="39">
        <v>0.12</v>
      </c>
      <c r="K21" s="40">
        <f>I21*J21</f>
        <v>0.97199999999999998</v>
      </c>
      <c r="L21" s="41">
        <f>I21+K21</f>
        <v>9.0719999999999992</v>
      </c>
    </row>
    <row r="22" spans="1:14" x14ac:dyDescent="0.3">
      <c r="A22" s="9"/>
      <c r="B22" s="12"/>
      <c r="C22" s="14"/>
      <c r="D22" s="14"/>
      <c r="E22" s="14"/>
      <c r="F22" s="41"/>
      <c r="G22" s="14"/>
      <c r="H22" s="37"/>
      <c r="I22" s="38"/>
      <c r="J22" s="39"/>
      <c r="K22" s="40"/>
      <c r="L22" s="41"/>
    </row>
    <row r="23" spans="1:14" x14ac:dyDescent="0.3">
      <c r="A23" s="9" t="s">
        <v>31</v>
      </c>
      <c r="B23" s="12" t="s">
        <v>32</v>
      </c>
      <c r="C23" s="14" t="s">
        <v>33</v>
      </c>
      <c r="D23" s="14" t="s">
        <v>34</v>
      </c>
      <c r="E23" s="14">
        <v>1.5</v>
      </c>
      <c r="F23" s="41">
        <f>E23*F11</f>
        <v>1.5</v>
      </c>
      <c r="G23" s="14">
        <v>32</v>
      </c>
      <c r="H23" s="37">
        <f>E23*G23</f>
        <v>48</v>
      </c>
      <c r="I23" s="38">
        <f>F23*G23</f>
        <v>48</v>
      </c>
      <c r="J23" s="39">
        <v>0.18</v>
      </c>
      <c r="K23" s="40">
        <f>I23*J23</f>
        <v>8.64</v>
      </c>
      <c r="L23" s="41">
        <f>I23+K23</f>
        <v>56.64</v>
      </c>
    </row>
    <row r="24" spans="1:14" x14ac:dyDescent="0.3">
      <c r="A24" s="9"/>
      <c r="B24" s="12" t="s">
        <v>35</v>
      </c>
      <c r="C24" s="14" t="s">
        <v>36</v>
      </c>
      <c r="D24" s="14" t="s">
        <v>37</v>
      </c>
      <c r="E24" s="14">
        <v>0.15</v>
      </c>
      <c r="F24" s="41">
        <f>E24*F11</f>
        <v>0.15</v>
      </c>
      <c r="G24" s="14">
        <v>88</v>
      </c>
      <c r="H24" s="37">
        <f>E24*G24</f>
        <v>13.2</v>
      </c>
      <c r="I24" s="38">
        <f>F24*G24</f>
        <v>13.2</v>
      </c>
      <c r="J24" s="39">
        <v>0.18</v>
      </c>
      <c r="K24" s="40">
        <f>I24*J24</f>
        <v>2.3759999999999999</v>
      </c>
      <c r="L24" s="41">
        <f>I24+K24</f>
        <v>15.575999999999999</v>
      </c>
    </row>
    <row r="25" spans="1:14" x14ac:dyDescent="0.3">
      <c r="A25" s="9"/>
      <c r="B25" s="12" t="s">
        <v>38</v>
      </c>
      <c r="C25" s="14" t="s">
        <v>39</v>
      </c>
      <c r="D25" s="14" t="s">
        <v>34</v>
      </c>
      <c r="E25" s="14">
        <v>3.75</v>
      </c>
      <c r="F25" s="41">
        <f>E25*F11</f>
        <v>3.75</v>
      </c>
      <c r="G25" s="14">
        <v>0.6875</v>
      </c>
      <c r="H25" s="37">
        <f>E25*G25</f>
        <v>2.578125</v>
      </c>
      <c r="I25" s="38">
        <f>F25*G25</f>
        <v>2.578125</v>
      </c>
      <c r="J25" s="39">
        <v>0.18</v>
      </c>
      <c r="K25" s="40">
        <f>I25*J25</f>
        <v>0.46406249999999999</v>
      </c>
      <c r="L25" s="41">
        <f>I25+K25</f>
        <v>3.0421874999999998</v>
      </c>
    </row>
    <row r="26" spans="1:14" x14ac:dyDescent="0.3">
      <c r="A26" s="9"/>
      <c r="B26" s="12"/>
      <c r="C26" s="14"/>
      <c r="D26" s="14"/>
      <c r="E26" s="14"/>
      <c r="F26" s="41"/>
      <c r="G26" s="14"/>
      <c r="H26" s="37"/>
      <c r="I26" s="38"/>
      <c r="J26" s="39"/>
      <c r="K26" s="40"/>
      <c r="L26" s="41"/>
    </row>
    <row r="27" spans="1:14" x14ac:dyDescent="0.3">
      <c r="A27" s="12" t="s">
        <v>41</v>
      </c>
      <c r="B27" s="22" t="s">
        <v>44</v>
      </c>
      <c r="C27" s="14" t="s">
        <v>36</v>
      </c>
      <c r="D27" s="14" t="s">
        <v>43</v>
      </c>
      <c r="E27" s="14">
        <v>1</v>
      </c>
      <c r="F27" s="12">
        <f>E27*F11</f>
        <v>1</v>
      </c>
      <c r="G27" s="14">
        <v>18</v>
      </c>
      <c r="H27" s="12">
        <f t="shared" ref="H27:H28" si="0">E27*G27</f>
        <v>18</v>
      </c>
      <c r="I27" s="38">
        <f t="shared" ref="I27:I28" si="1">F27*G27</f>
        <v>18</v>
      </c>
      <c r="J27" s="39">
        <v>0.12</v>
      </c>
      <c r="K27" s="40">
        <f t="shared" ref="K27:K28" si="2">I27*J27</f>
        <v>2.16</v>
      </c>
      <c r="L27" s="41">
        <f t="shared" ref="L27:L28" si="3">I27+K27</f>
        <v>20.16</v>
      </c>
      <c r="M27" s="43"/>
    </row>
    <row r="28" spans="1:14" x14ac:dyDescent="0.3">
      <c r="A28" s="12"/>
      <c r="B28" s="12" t="s">
        <v>197</v>
      </c>
      <c r="C28" s="14" t="str">
        <f>C9</f>
        <v>FOREST</v>
      </c>
      <c r="D28" s="14" t="s">
        <v>43</v>
      </c>
      <c r="E28" s="14">
        <v>1</v>
      </c>
      <c r="F28" s="41">
        <f>E28*F11</f>
        <v>1</v>
      </c>
      <c r="G28" s="14">
        <v>165</v>
      </c>
      <c r="H28" s="37">
        <f t="shared" si="0"/>
        <v>165</v>
      </c>
      <c r="I28" s="38">
        <f t="shared" si="1"/>
        <v>165</v>
      </c>
      <c r="J28" s="39">
        <v>0.18</v>
      </c>
      <c r="K28" s="40">
        <f t="shared" si="2"/>
        <v>29.7</v>
      </c>
      <c r="L28" s="41">
        <f t="shared" si="3"/>
        <v>194.7</v>
      </c>
      <c r="M28">
        <v>1.9</v>
      </c>
      <c r="N28">
        <f>M28*85</f>
        <v>161.5</v>
      </c>
    </row>
    <row r="29" spans="1:14" x14ac:dyDescent="0.3">
      <c r="A29" s="12"/>
      <c r="B29" s="22" t="s">
        <v>45</v>
      </c>
      <c r="C29" s="14" t="s">
        <v>36</v>
      </c>
      <c r="D29" s="14" t="s">
        <v>43</v>
      </c>
      <c r="E29" s="14">
        <v>18</v>
      </c>
      <c r="F29" s="12">
        <f>E29*F11</f>
        <v>18</v>
      </c>
      <c r="G29" s="14">
        <v>7.5</v>
      </c>
      <c r="H29" s="12">
        <f t="shared" ref="H29:H31" si="4">E29*G29</f>
        <v>135</v>
      </c>
      <c r="I29" s="38">
        <f t="shared" ref="I29:I31" si="5">F29*G29</f>
        <v>135</v>
      </c>
      <c r="J29" s="39">
        <v>0.12</v>
      </c>
      <c r="K29" s="40">
        <f t="shared" ref="K29:K31" si="6">I29*J29</f>
        <v>16.2</v>
      </c>
      <c r="L29" s="41">
        <f t="shared" ref="L29:L31" si="7">I29+K29</f>
        <v>151.19999999999999</v>
      </c>
    </row>
    <row r="30" spans="1:14" x14ac:dyDescent="0.3">
      <c r="A30" s="12"/>
      <c r="B30" s="12" t="s">
        <v>163</v>
      </c>
      <c r="C30" s="14" t="s">
        <v>164</v>
      </c>
      <c r="D30" s="14" t="s">
        <v>34</v>
      </c>
      <c r="E30" s="14">
        <v>2</v>
      </c>
      <c r="F30" s="41">
        <f>E30*F11</f>
        <v>2</v>
      </c>
      <c r="G30" s="14">
        <v>20</v>
      </c>
      <c r="H30" s="37">
        <f t="shared" si="4"/>
        <v>40</v>
      </c>
      <c r="I30" s="38">
        <f t="shared" si="5"/>
        <v>40</v>
      </c>
      <c r="J30" s="39">
        <v>0.18</v>
      </c>
      <c r="K30" s="40">
        <f t="shared" si="6"/>
        <v>7.1999999999999993</v>
      </c>
      <c r="L30" s="41">
        <f t="shared" si="7"/>
        <v>47.2</v>
      </c>
    </row>
    <row r="31" spans="1:14" x14ac:dyDescent="0.3">
      <c r="A31" s="12"/>
      <c r="B31" s="12" t="s">
        <v>46</v>
      </c>
      <c r="C31" s="14" t="s">
        <v>36</v>
      </c>
      <c r="D31" s="14" t="s">
        <v>43</v>
      </c>
      <c r="E31" s="14">
        <v>1</v>
      </c>
      <c r="F31" s="12">
        <f>E31*F11</f>
        <v>1</v>
      </c>
      <c r="G31" s="14">
        <v>250</v>
      </c>
      <c r="H31" s="37">
        <f t="shared" si="4"/>
        <v>250</v>
      </c>
      <c r="I31" s="38">
        <f t="shared" si="5"/>
        <v>250</v>
      </c>
      <c r="J31" s="39">
        <v>0.12</v>
      </c>
      <c r="K31" s="40">
        <f t="shared" si="6"/>
        <v>30</v>
      </c>
      <c r="L31" s="41">
        <f t="shared" si="7"/>
        <v>280</v>
      </c>
    </row>
    <row r="32" spans="1:14" x14ac:dyDescent="0.3">
      <c r="A32" s="12"/>
      <c r="B32" s="12" t="s">
        <v>231</v>
      </c>
      <c r="C32" s="14" t="s">
        <v>36</v>
      </c>
      <c r="D32" s="14" t="s">
        <v>43</v>
      </c>
      <c r="E32" s="14">
        <v>6</v>
      </c>
      <c r="F32" s="12">
        <f>E32*F11</f>
        <v>6</v>
      </c>
      <c r="G32" s="14">
        <v>3.5</v>
      </c>
      <c r="H32" s="37">
        <f t="shared" ref="H32" si="8">E32*G32</f>
        <v>21</v>
      </c>
      <c r="I32" s="38">
        <f t="shared" ref="I32" si="9">F32*G32</f>
        <v>21</v>
      </c>
      <c r="J32" s="39">
        <v>0.12</v>
      </c>
      <c r="K32" s="40">
        <f t="shared" ref="K32" si="10">I32*J32</f>
        <v>2.52</v>
      </c>
      <c r="L32" s="41">
        <f t="shared" ref="L32" si="11">I32+K32</f>
        <v>23.52</v>
      </c>
    </row>
    <row r="33" spans="1:12" x14ac:dyDescent="0.3">
      <c r="A33" s="12"/>
      <c r="B33" s="12"/>
      <c r="C33" s="14"/>
      <c r="D33" s="14"/>
      <c r="E33" s="14"/>
      <c r="F33" s="12"/>
      <c r="G33" s="14"/>
      <c r="H33" s="37"/>
      <c r="I33" s="38"/>
      <c r="J33" s="39"/>
      <c r="K33" s="40"/>
      <c r="L33" s="41"/>
    </row>
    <row r="34" spans="1:12" x14ac:dyDescent="0.3">
      <c r="A34" s="12" t="s">
        <v>47</v>
      </c>
      <c r="B34" s="12" t="s">
        <v>48</v>
      </c>
      <c r="C34" s="14" t="s">
        <v>36</v>
      </c>
      <c r="D34" s="14" t="s">
        <v>43</v>
      </c>
      <c r="E34" s="14">
        <v>1</v>
      </c>
      <c r="F34" s="41">
        <f>E34*F11</f>
        <v>1</v>
      </c>
      <c r="G34" s="14">
        <v>12</v>
      </c>
      <c r="H34" s="37">
        <f>E34*G34</f>
        <v>12</v>
      </c>
      <c r="I34" s="38">
        <f>F34*G34</f>
        <v>12</v>
      </c>
      <c r="J34" s="39">
        <v>0.12</v>
      </c>
      <c r="K34" s="40">
        <f>I34*J34</f>
        <v>1.44</v>
      </c>
      <c r="L34" s="41">
        <f>I34+K34</f>
        <v>13.44</v>
      </c>
    </row>
    <row r="35" spans="1:12" x14ac:dyDescent="0.3">
      <c r="A35" s="12"/>
      <c r="B35" s="12" t="s">
        <v>49</v>
      </c>
      <c r="C35" s="14" t="s">
        <v>36</v>
      </c>
      <c r="D35" s="14" t="s">
        <v>43</v>
      </c>
      <c r="E35" s="14">
        <v>1</v>
      </c>
      <c r="F35" s="41">
        <f>E35*F11</f>
        <v>1</v>
      </c>
      <c r="G35" s="14">
        <v>3.5</v>
      </c>
      <c r="H35" s="37">
        <f>E35*G35</f>
        <v>3.5</v>
      </c>
      <c r="I35" s="38">
        <f>F35*G35</f>
        <v>3.5</v>
      </c>
      <c r="J35" s="39">
        <v>0.12</v>
      </c>
      <c r="K35" s="40">
        <f>I35*J35</f>
        <v>0.42</v>
      </c>
      <c r="L35" s="41">
        <f>I35+K35</f>
        <v>3.92</v>
      </c>
    </row>
    <row r="36" spans="1:12" x14ac:dyDescent="0.3">
      <c r="A36" s="9"/>
      <c r="B36" s="12" t="s">
        <v>50</v>
      </c>
      <c r="C36" s="14" t="s">
        <v>36</v>
      </c>
      <c r="D36" s="14" t="s">
        <v>43</v>
      </c>
      <c r="E36" s="14">
        <v>1</v>
      </c>
      <c r="F36" s="41">
        <f>E36*F11</f>
        <v>1</v>
      </c>
      <c r="G36" s="14">
        <v>4</v>
      </c>
      <c r="H36" s="37">
        <v>4</v>
      </c>
      <c r="I36" s="38">
        <f>F36*G36</f>
        <v>4</v>
      </c>
      <c r="J36" s="39">
        <v>0.12</v>
      </c>
      <c r="K36" s="40">
        <f>I36*J36</f>
        <v>0.48</v>
      </c>
      <c r="L36" s="41">
        <f>I36+K36</f>
        <v>4.4800000000000004</v>
      </c>
    </row>
    <row r="37" spans="1:12" x14ac:dyDescent="0.3">
      <c r="A37" s="9"/>
      <c r="B37" s="12"/>
      <c r="C37" s="14"/>
      <c r="D37" s="14"/>
      <c r="E37" s="14"/>
      <c r="F37" s="41"/>
      <c r="G37" s="14"/>
      <c r="H37" s="12"/>
      <c r="I37" s="41"/>
      <c r="J37" s="39"/>
      <c r="K37" s="41"/>
      <c r="L37" s="41"/>
    </row>
    <row r="38" spans="1:12" ht="26.4" x14ac:dyDescent="0.3">
      <c r="A38" s="44" t="s">
        <v>51</v>
      </c>
      <c r="B38" s="21" t="s">
        <v>52</v>
      </c>
      <c r="C38" s="23" t="s">
        <v>36</v>
      </c>
      <c r="D38" s="23" t="s">
        <v>43</v>
      </c>
      <c r="E38" s="23">
        <v>1</v>
      </c>
      <c r="F38" s="45">
        <f>F11*E38</f>
        <v>1</v>
      </c>
      <c r="G38" s="23">
        <v>12</v>
      </c>
      <c r="H38" s="46">
        <f t="shared" ref="H38:H43" si="12">E38*G38</f>
        <v>12</v>
      </c>
      <c r="I38" s="47">
        <f t="shared" ref="I38:I42" si="13">F38*G38</f>
        <v>12</v>
      </c>
      <c r="J38" s="48">
        <v>0.18</v>
      </c>
      <c r="K38" s="49">
        <f t="shared" ref="K38:K43" si="14">I38*J38</f>
        <v>2.16</v>
      </c>
      <c r="L38" s="45">
        <f t="shared" ref="L38:L44" si="15">I38+K38</f>
        <v>14.16</v>
      </c>
    </row>
    <row r="39" spans="1:12" x14ac:dyDescent="0.3">
      <c r="A39" s="12"/>
      <c r="B39" s="12" t="s">
        <v>53</v>
      </c>
      <c r="C39" s="14" t="s">
        <v>36</v>
      </c>
      <c r="D39" s="14" t="s">
        <v>43</v>
      </c>
      <c r="E39" s="14">
        <v>1</v>
      </c>
      <c r="F39" s="41">
        <f>E39*F11</f>
        <v>1</v>
      </c>
      <c r="G39" s="14">
        <v>0</v>
      </c>
      <c r="H39" s="37">
        <f t="shared" si="12"/>
        <v>0</v>
      </c>
      <c r="I39" s="38">
        <f t="shared" si="13"/>
        <v>0</v>
      </c>
      <c r="J39" s="39">
        <v>0.18</v>
      </c>
      <c r="K39" s="40">
        <f t="shared" si="14"/>
        <v>0</v>
      </c>
      <c r="L39" s="41">
        <f t="shared" si="15"/>
        <v>0</v>
      </c>
    </row>
    <row r="40" spans="1:12" x14ac:dyDescent="0.3">
      <c r="A40" s="12"/>
      <c r="B40" s="12" t="s">
        <v>54</v>
      </c>
      <c r="C40" s="14" t="s">
        <v>36</v>
      </c>
      <c r="D40" s="14" t="s">
        <v>55</v>
      </c>
      <c r="E40" s="14">
        <v>1</v>
      </c>
      <c r="F40" s="41">
        <f>E40*F11</f>
        <v>1</v>
      </c>
      <c r="G40" s="14">
        <v>0</v>
      </c>
      <c r="H40" s="37">
        <f t="shared" si="12"/>
        <v>0</v>
      </c>
      <c r="I40" s="38">
        <f t="shared" si="13"/>
        <v>0</v>
      </c>
      <c r="J40" s="39">
        <v>0.18</v>
      </c>
      <c r="K40" s="40">
        <f t="shared" si="14"/>
        <v>0</v>
      </c>
      <c r="L40" s="41">
        <f t="shared" si="15"/>
        <v>0</v>
      </c>
    </row>
    <row r="41" spans="1:12" x14ac:dyDescent="0.3">
      <c r="A41" s="12"/>
      <c r="B41" s="12" t="s">
        <v>56</v>
      </c>
      <c r="C41" s="14" t="s">
        <v>36</v>
      </c>
      <c r="D41" s="14" t="s">
        <v>55</v>
      </c>
      <c r="E41" s="14">
        <v>0.2</v>
      </c>
      <c r="F41" s="41">
        <f>E41*F11</f>
        <v>0.2</v>
      </c>
      <c r="G41" s="14">
        <v>115</v>
      </c>
      <c r="H41" s="37">
        <v>15</v>
      </c>
      <c r="I41" s="38">
        <f>H41*F11</f>
        <v>15</v>
      </c>
      <c r="J41" s="39">
        <v>0.18</v>
      </c>
      <c r="K41" s="40">
        <f t="shared" si="14"/>
        <v>2.6999999999999997</v>
      </c>
      <c r="L41" s="41">
        <f t="shared" si="15"/>
        <v>17.7</v>
      </c>
    </row>
    <row r="42" spans="1:12" x14ac:dyDescent="0.3">
      <c r="A42" s="12"/>
      <c r="B42" s="12" t="s">
        <v>57</v>
      </c>
      <c r="C42" s="14" t="s">
        <v>36</v>
      </c>
      <c r="D42" s="14" t="s">
        <v>58</v>
      </c>
      <c r="E42" s="14">
        <v>2</v>
      </c>
      <c r="F42" s="41">
        <f>E42*F11</f>
        <v>2</v>
      </c>
      <c r="G42" s="14">
        <v>1.35</v>
      </c>
      <c r="H42" s="37">
        <f t="shared" si="12"/>
        <v>2.7</v>
      </c>
      <c r="I42" s="38">
        <f t="shared" si="13"/>
        <v>2.7</v>
      </c>
      <c r="J42" s="39">
        <v>0.18</v>
      </c>
      <c r="K42" s="40">
        <f t="shared" si="14"/>
        <v>0.48599999999999999</v>
      </c>
      <c r="L42" s="41">
        <f t="shared" si="15"/>
        <v>3.1859999999999999</v>
      </c>
    </row>
    <row r="43" spans="1:12" x14ac:dyDescent="0.3">
      <c r="A43" s="12"/>
      <c r="B43" s="12" t="s">
        <v>59</v>
      </c>
      <c r="C43" s="14" t="s">
        <v>36</v>
      </c>
      <c r="D43" s="14" t="s">
        <v>43</v>
      </c>
      <c r="E43" s="14">
        <v>7.0000000000000007E-2</v>
      </c>
      <c r="F43" s="41">
        <f>E43*F11</f>
        <v>7.0000000000000007E-2</v>
      </c>
      <c r="G43" s="14">
        <v>168</v>
      </c>
      <c r="H43" s="37">
        <f t="shared" si="12"/>
        <v>11.760000000000002</v>
      </c>
      <c r="I43" s="38">
        <f>F43*G43</f>
        <v>11.760000000000002</v>
      </c>
      <c r="J43" s="39">
        <v>0.18</v>
      </c>
      <c r="K43" s="40">
        <f t="shared" si="14"/>
        <v>2.1168</v>
      </c>
      <c r="L43" s="41">
        <f t="shared" si="15"/>
        <v>13.876800000000001</v>
      </c>
    </row>
    <row r="44" spans="1:12" x14ac:dyDescent="0.3">
      <c r="A44" s="12"/>
      <c r="B44" s="12" t="s">
        <v>60</v>
      </c>
      <c r="C44" s="14" t="s">
        <v>61</v>
      </c>
      <c r="D44" s="14" t="s">
        <v>62</v>
      </c>
      <c r="E44" s="14">
        <f>0.1</f>
        <v>0.1</v>
      </c>
      <c r="F44" s="41">
        <f>E44*F11</f>
        <v>0.1</v>
      </c>
      <c r="G44" s="14">
        <v>54</v>
      </c>
      <c r="H44" s="37">
        <f>E44*G44</f>
        <v>5.4</v>
      </c>
      <c r="I44" s="38">
        <f>F44*G44</f>
        <v>5.4</v>
      </c>
      <c r="J44" s="39">
        <v>0.18</v>
      </c>
      <c r="K44" s="40">
        <f>I44*J44</f>
        <v>0.97199999999999998</v>
      </c>
      <c r="L44" s="41">
        <f t="shared" si="15"/>
        <v>6.3719999999999999</v>
      </c>
    </row>
    <row r="45" spans="1:12" x14ac:dyDescent="0.3">
      <c r="A45" s="12"/>
      <c r="B45" s="12"/>
      <c r="C45" s="14"/>
      <c r="D45" s="14"/>
      <c r="E45" s="14"/>
      <c r="F45" s="41"/>
      <c r="G45" s="14"/>
      <c r="H45" s="50">
        <f>SUM(H16:H44)</f>
        <v>881.87812500000007</v>
      </c>
      <c r="I45" s="50">
        <f>SUM(I16:I44)</f>
        <v>881.87812500000007</v>
      </c>
      <c r="J45" s="51"/>
      <c r="K45" s="52">
        <f>SUM(K16:K44)</f>
        <v>124.7636625</v>
      </c>
      <c r="L45" s="53">
        <f>SUM(L16:L44)</f>
        <v>1006.6417875000001</v>
      </c>
    </row>
    <row r="46" spans="1:12" x14ac:dyDescent="0.3">
      <c r="A46" s="12" t="s">
        <v>63</v>
      </c>
      <c r="B46" s="12" t="s">
        <v>64</v>
      </c>
      <c r="C46" s="15"/>
      <c r="D46" s="14" t="s">
        <v>43</v>
      </c>
      <c r="E46" s="14">
        <f>C46*1%</f>
        <v>0</v>
      </c>
      <c r="F46" s="41">
        <f>F11</f>
        <v>1</v>
      </c>
      <c r="G46" s="14">
        <f>E46</f>
        <v>0</v>
      </c>
      <c r="H46" s="38">
        <f>G46</f>
        <v>0</v>
      </c>
      <c r="I46" s="38">
        <f>H46*F46</f>
        <v>0</v>
      </c>
      <c r="J46" s="39">
        <v>0.18</v>
      </c>
      <c r="K46" s="40">
        <f t="shared" ref="K46:K54" si="16">I46*J46</f>
        <v>0</v>
      </c>
      <c r="L46" s="41">
        <f t="shared" ref="L46:L54" si="17">I46+K46</f>
        <v>0</v>
      </c>
    </row>
    <row r="47" spans="1:12" x14ac:dyDescent="0.3">
      <c r="A47" s="12"/>
      <c r="B47" s="12" t="s">
        <v>65</v>
      </c>
      <c r="C47" s="15"/>
      <c r="D47" s="14" t="s">
        <v>43</v>
      </c>
      <c r="E47" s="14">
        <f>C47*1%</f>
        <v>0</v>
      </c>
      <c r="F47" s="41">
        <f>F11</f>
        <v>1</v>
      </c>
      <c r="G47" s="14">
        <f>E47</f>
        <v>0</v>
      </c>
      <c r="H47" s="38">
        <f>G47</f>
        <v>0</v>
      </c>
      <c r="I47" s="38">
        <f>H47*F47</f>
        <v>0</v>
      </c>
      <c r="J47" s="39">
        <v>0.18</v>
      </c>
      <c r="K47" s="40">
        <f t="shared" si="16"/>
        <v>0</v>
      </c>
      <c r="L47" s="41">
        <f t="shared" si="17"/>
        <v>0</v>
      </c>
    </row>
    <row r="48" spans="1:12" x14ac:dyDescent="0.3">
      <c r="A48" s="12"/>
      <c r="B48" s="12" t="s">
        <v>66</v>
      </c>
      <c r="C48" s="15"/>
      <c r="D48" s="14" t="s">
        <v>43</v>
      </c>
      <c r="E48" s="14">
        <f>C48*5%</f>
        <v>0</v>
      </c>
      <c r="F48" s="41">
        <f>F11</f>
        <v>1</v>
      </c>
      <c r="G48" s="14">
        <f t="shared" ref="G48:G53" si="18">E48</f>
        <v>0</v>
      </c>
      <c r="H48" s="38">
        <f t="shared" ref="H48:H53" si="19">G48</f>
        <v>0</v>
      </c>
      <c r="I48" s="38">
        <f>H48*F48</f>
        <v>0</v>
      </c>
      <c r="J48" s="39"/>
      <c r="K48" s="40">
        <f t="shared" si="16"/>
        <v>0</v>
      </c>
      <c r="L48" s="41">
        <f t="shared" si="17"/>
        <v>0</v>
      </c>
    </row>
    <row r="49" spans="1:12" x14ac:dyDescent="0.3">
      <c r="A49" s="12"/>
      <c r="B49" s="12" t="s">
        <v>67</v>
      </c>
      <c r="C49" s="15"/>
      <c r="D49" s="14" t="s">
        <v>43</v>
      </c>
      <c r="E49" s="14">
        <f>C49*7%</f>
        <v>0</v>
      </c>
      <c r="F49" s="41">
        <f>F11</f>
        <v>1</v>
      </c>
      <c r="G49" s="14">
        <f t="shared" si="18"/>
        <v>0</v>
      </c>
      <c r="H49" s="38">
        <f t="shared" si="19"/>
        <v>0</v>
      </c>
      <c r="I49" s="38">
        <f>H49*F49</f>
        <v>0</v>
      </c>
      <c r="J49" s="12"/>
      <c r="K49" s="40">
        <f t="shared" si="16"/>
        <v>0</v>
      </c>
      <c r="L49" s="41">
        <f t="shared" si="17"/>
        <v>0</v>
      </c>
    </row>
    <row r="50" spans="1:12" x14ac:dyDescent="0.3">
      <c r="A50" s="9" t="s">
        <v>68</v>
      </c>
      <c r="B50" s="12" t="s">
        <v>69</v>
      </c>
      <c r="C50" s="15"/>
      <c r="D50" s="14" t="s">
        <v>43</v>
      </c>
      <c r="E50" s="14">
        <f>C50*2.5%</f>
        <v>0</v>
      </c>
      <c r="F50" s="41">
        <f>F11</f>
        <v>1</v>
      </c>
      <c r="G50" s="14">
        <f t="shared" si="18"/>
        <v>0</v>
      </c>
      <c r="H50" s="38">
        <f t="shared" si="19"/>
        <v>0</v>
      </c>
      <c r="I50" s="38">
        <f t="shared" ref="I50:I54" si="20">H50*F50</f>
        <v>0</v>
      </c>
      <c r="J50" s="12"/>
      <c r="K50" s="40">
        <f t="shared" si="16"/>
        <v>0</v>
      </c>
      <c r="L50" s="41">
        <f t="shared" si="17"/>
        <v>0</v>
      </c>
    </row>
    <row r="51" spans="1:12" x14ac:dyDescent="0.3">
      <c r="A51" s="12"/>
      <c r="B51" s="12" t="s">
        <v>70</v>
      </c>
      <c r="C51" s="15"/>
      <c r="D51" s="14" t="s">
        <v>43</v>
      </c>
      <c r="E51" s="14">
        <f>C51*2%</f>
        <v>0</v>
      </c>
      <c r="F51" s="41">
        <f>F11</f>
        <v>1</v>
      </c>
      <c r="G51" s="14">
        <f t="shared" si="18"/>
        <v>0</v>
      </c>
      <c r="H51" s="38">
        <f t="shared" si="19"/>
        <v>0</v>
      </c>
      <c r="I51" s="38">
        <f t="shared" si="20"/>
        <v>0</v>
      </c>
      <c r="J51" s="12"/>
      <c r="K51" s="40">
        <f t="shared" si="16"/>
        <v>0</v>
      </c>
      <c r="L51" s="41">
        <f t="shared" si="17"/>
        <v>0</v>
      </c>
    </row>
    <row r="52" spans="1:12" x14ac:dyDescent="0.3">
      <c r="A52" s="12"/>
      <c r="B52" s="12" t="s">
        <v>71</v>
      </c>
      <c r="C52" s="15"/>
      <c r="D52" s="14" t="s">
        <v>43</v>
      </c>
      <c r="E52" s="14">
        <v>1200</v>
      </c>
      <c r="F52" s="41">
        <f>F11</f>
        <v>1</v>
      </c>
      <c r="G52" s="14">
        <f t="shared" si="18"/>
        <v>1200</v>
      </c>
      <c r="H52" s="38">
        <f t="shared" si="19"/>
        <v>1200</v>
      </c>
      <c r="I52" s="38">
        <f t="shared" si="20"/>
        <v>1200</v>
      </c>
      <c r="J52" s="12"/>
      <c r="K52" s="40">
        <f t="shared" si="16"/>
        <v>0</v>
      </c>
      <c r="L52" s="41">
        <f t="shared" si="17"/>
        <v>1200</v>
      </c>
    </row>
    <row r="53" spans="1:12" x14ac:dyDescent="0.3">
      <c r="A53" s="12"/>
      <c r="B53" s="12" t="s">
        <v>72</v>
      </c>
      <c r="C53" s="15">
        <f>B59</f>
        <v>6885</v>
      </c>
      <c r="D53" s="14" t="s">
        <v>43</v>
      </c>
      <c r="E53" s="14">
        <f>C53*5%</f>
        <v>344.25</v>
      </c>
      <c r="F53" s="41">
        <f>F11</f>
        <v>1</v>
      </c>
      <c r="G53" s="14">
        <f t="shared" si="18"/>
        <v>344.25</v>
      </c>
      <c r="H53" s="38">
        <f t="shared" si="19"/>
        <v>344.25</v>
      </c>
      <c r="I53" s="38">
        <f t="shared" si="20"/>
        <v>344.25</v>
      </c>
      <c r="J53" s="12"/>
      <c r="K53" s="40">
        <f t="shared" si="16"/>
        <v>0</v>
      </c>
      <c r="L53" s="41">
        <f t="shared" si="17"/>
        <v>344.25</v>
      </c>
    </row>
    <row r="54" spans="1:12" x14ac:dyDescent="0.3">
      <c r="A54" s="12" t="s">
        <v>73</v>
      </c>
      <c r="B54" s="54" t="s">
        <v>74</v>
      </c>
      <c r="C54" s="55"/>
      <c r="D54" s="55" t="s">
        <v>43</v>
      </c>
      <c r="E54" s="55">
        <v>420</v>
      </c>
      <c r="F54" s="41">
        <f>F11</f>
        <v>1</v>
      </c>
      <c r="G54" s="55">
        <v>420</v>
      </c>
      <c r="H54" s="56">
        <v>420</v>
      </c>
      <c r="I54" s="38">
        <f t="shared" si="20"/>
        <v>420</v>
      </c>
      <c r="J54" s="54"/>
      <c r="K54" s="57">
        <f t="shared" si="16"/>
        <v>0</v>
      </c>
      <c r="L54" s="58">
        <f t="shared" si="17"/>
        <v>420</v>
      </c>
    </row>
    <row r="55" spans="1:12" x14ac:dyDescent="0.3">
      <c r="A55" s="2"/>
      <c r="B55" s="2"/>
      <c r="C55" s="1"/>
      <c r="D55" s="1"/>
      <c r="E55" s="1"/>
      <c r="F55" s="59">
        <f>F11</f>
        <v>1</v>
      </c>
      <c r="G55" s="1"/>
      <c r="H55" s="59">
        <f>SUM(H45:H54)</f>
        <v>2846.1281250000002</v>
      </c>
      <c r="I55" s="59">
        <f>SUM(I45:I54)</f>
        <v>2846.1281250000002</v>
      </c>
      <c r="J55" s="60"/>
      <c r="K55" s="59">
        <f>SUM(K45:K54)</f>
        <v>124.7636625</v>
      </c>
      <c r="L55" s="59">
        <f>SUM(L45:L54)</f>
        <v>2970.8917875000002</v>
      </c>
    </row>
    <row r="56" spans="1:12" x14ac:dyDescent="0.3">
      <c r="A56" s="2"/>
      <c r="B56" s="2"/>
      <c r="C56" s="1"/>
      <c r="D56" s="1"/>
      <c r="E56" s="1"/>
      <c r="F56" s="2"/>
      <c r="G56" s="1"/>
      <c r="H56" s="61"/>
      <c r="I56" s="61"/>
    </row>
    <row r="57" spans="1:12" ht="46.2" customHeight="1" x14ac:dyDescent="0.3">
      <c r="A57" s="2"/>
      <c r="B57" s="2"/>
      <c r="C57" s="1"/>
      <c r="D57" s="1"/>
      <c r="E57" s="1"/>
      <c r="F57" s="2"/>
      <c r="G57" s="62" t="s">
        <v>75</v>
      </c>
      <c r="H57" s="2"/>
      <c r="I57" s="2"/>
      <c r="J57" s="2"/>
      <c r="K57" s="61"/>
      <c r="L57" s="2"/>
    </row>
    <row r="58" spans="1:12" ht="18" x14ac:dyDescent="0.35">
      <c r="A58" s="63" t="s">
        <v>76</v>
      </c>
      <c r="B58" s="64">
        <v>81</v>
      </c>
      <c r="C58" s="122" t="s">
        <v>77</v>
      </c>
      <c r="D58" s="122"/>
      <c r="E58" s="122"/>
      <c r="F58" s="122"/>
      <c r="G58" s="65">
        <f>G13</f>
        <v>4113.5</v>
      </c>
      <c r="H58" s="1"/>
      <c r="I58" s="1"/>
      <c r="J58" s="2"/>
      <c r="K58" s="2"/>
      <c r="L58" s="2"/>
    </row>
    <row r="59" spans="1:12" ht="18" x14ac:dyDescent="0.35">
      <c r="A59" s="63">
        <v>85</v>
      </c>
      <c r="B59" s="63">
        <f>B58*A59</f>
        <v>6885</v>
      </c>
      <c r="C59" s="122" t="s">
        <v>78</v>
      </c>
      <c r="D59" s="122"/>
      <c r="E59" s="122"/>
      <c r="F59" s="122"/>
      <c r="G59" s="65">
        <f>I55/F11</f>
        <v>2846.1281250000002</v>
      </c>
      <c r="H59" s="1"/>
      <c r="I59" s="1"/>
      <c r="J59" s="2"/>
      <c r="K59" s="2"/>
      <c r="L59" s="2"/>
    </row>
    <row r="60" spans="1:12" x14ac:dyDescent="0.3">
      <c r="A60" s="2"/>
      <c r="B60" s="2"/>
      <c r="C60" s="130" t="s">
        <v>79</v>
      </c>
      <c r="D60" s="130"/>
      <c r="E60" s="130"/>
      <c r="F60" s="130"/>
      <c r="G60" s="67">
        <f>SUM(G58:G59)</f>
        <v>6959.6281250000002</v>
      </c>
      <c r="H60" s="1"/>
      <c r="I60" s="1"/>
      <c r="J60" s="2"/>
      <c r="K60" s="2"/>
      <c r="L60" s="2"/>
    </row>
    <row r="61" spans="1:12" ht="14.4" customHeight="1" x14ac:dyDescent="0.35">
      <c r="A61" s="63" t="s">
        <v>76</v>
      </c>
      <c r="B61" s="64">
        <f>H62</f>
        <v>73.259243421052631</v>
      </c>
      <c r="C61" s="2"/>
      <c r="G61" s="1"/>
      <c r="H61" s="1"/>
      <c r="I61" s="1"/>
      <c r="J61" s="2"/>
      <c r="K61" s="2"/>
      <c r="L61" s="2"/>
    </row>
    <row r="62" spans="1:12" ht="14.4" customHeight="1" x14ac:dyDescent="0.35">
      <c r="A62" s="63">
        <v>95</v>
      </c>
      <c r="B62" s="64">
        <f>B61*A62</f>
        <v>6959.6281250000002</v>
      </c>
      <c r="C62" s="2"/>
      <c r="G62" s="68">
        <f>G60/A59</f>
        <v>81.877977941176468</v>
      </c>
      <c r="H62" s="69">
        <f>G60/A62</f>
        <v>73.259243421052631</v>
      </c>
      <c r="I62" s="1"/>
      <c r="J62" s="2"/>
      <c r="K62" s="2"/>
      <c r="L62" s="2"/>
    </row>
    <row r="63" spans="1:12" ht="14.4" customHeight="1" x14ac:dyDescent="0.3">
      <c r="A63" s="2"/>
      <c r="B63" s="109"/>
      <c r="D63" s="70" t="s">
        <v>80</v>
      </c>
      <c r="E63" s="1"/>
      <c r="F63" s="71"/>
      <c r="G63" s="71"/>
      <c r="H63" s="1"/>
      <c r="I63" s="1"/>
      <c r="J63" s="2"/>
      <c r="K63" s="2"/>
      <c r="L63" s="2"/>
    </row>
    <row r="64" spans="1:12" ht="14.4" customHeight="1" x14ac:dyDescent="0.3">
      <c r="A64" s="2"/>
      <c r="B64" s="109"/>
      <c r="D64" s="72" t="s">
        <v>81</v>
      </c>
      <c r="E64" s="73">
        <f>I55/F55</f>
        <v>2846.1281250000002</v>
      </c>
      <c r="F64" s="74" t="s">
        <v>20</v>
      </c>
      <c r="G64" s="71"/>
      <c r="H64" s="1"/>
      <c r="I64" s="1"/>
      <c r="J64" s="2"/>
      <c r="K64" s="2"/>
      <c r="L64" s="2"/>
    </row>
    <row r="65" spans="1:12" x14ac:dyDescent="0.3">
      <c r="A65" s="2"/>
      <c r="B65" s="75"/>
      <c r="C65" s="2"/>
      <c r="D65" s="72" t="s">
        <v>21</v>
      </c>
      <c r="E65" s="73">
        <f>L55/F55</f>
        <v>2970.8917875000002</v>
      </c>
      <c r="F65" s="74" t="s">
        <v>20</v>
      </c>
      <c r="G65" s="71"/>
      <c r="H65" s="1"/>
      <c r="I65" s="1"/>
      <c r="J65" s="2"/>
      <c r="K65" s="2"/>
      <c r="L65" s="2"/>
    </row>
    <row r="66" spans="1:12" x14ac:dyDescent="0.3">
      <c r="A66" s="2"/>
      <c r="B66" s="2"/>
      <c r="C66" s="1"/>
      <c r="D66" s="76"/>
      <c r="E66" s="71"/>
      <c r="F66" s="71"/>
      <c r="G66" s="1"/>
      <c r="H66" s="2"/>
      <c r="I66" s="2"/>
      <c r="J66" s="2"/>
      <c r="K66" s="2"/>
      <c r="L66" s="2"/>
    </row>
    <row r="67" spans="1:12" x14ac:dyDescent="0.3">
      <c r="D67" s="77" t="s">
        <v>21</v>
      </c>
      <c r="E67" s="78"/>
      <c r="F67" s="79" t="s">
        <v>19</v>
      </c>
    </row>
    <row r="68" spans="1:12" x14ac:dyDescent="0.3">
      <c r="B68" s="122" t="s">
        <v>82</v>
      </c>
      <c r="C68" s="122"/>
      <c r="D68" s="65">
        <f>G14</f>
        <v>4607.12</v>
      </c>
      <c r="E68" s="75"/>
      <c r="F68" s="80">
        <f>G13</f>
        <v>4113.5</v>
      </c>
    </row>
    <row r="69" spans="1:12" x14ac:dyDescent="0.3">
      <c r="B69" s="124" t="s">
        <v>83</v>
      </c>
      <c r="C69" s="125"/>
      <c r="D69" s="65">
        <f>E65</f>
        <v>2970.8917875000002</v>
      </c>
      <c r="E69" s="75"/>
      <c r="F69" s="80">
        <f>E64</f>
        <v>2846.1281250000002</v>
      </c>
    </row>
    <row r="70" spans="1:12" x14ac:dyDescent="0.3">
      <c r="B70" s="66" t="s">
        <v>79</v>
      </c>
      <c r="C70" s="66"/>
      <c r="D70" s="67">
        <f>SUM(D68:D69)</f>
        <v>7578.0117874999996</v>
      </c>
      <c r="E70" s="78"/>
      <c r="F70" s="81">
        <f>SUM(F68:F69)</f>
        <v>6959.6281250000002</v>
      </c>
    </row>
    <row r="71" spans="1:12" x14ac:dyDescent="0.3">
      <c r="D71" s="82"/>
      <c r="E71" s="1"/>
      <c r="F71" s="71"/>
    </row>
    <row r="72" spans="1:12" x14ac:dyDescent="0.3">
      <c r="D72" s="68">
        <f>D70/A59</f>
        <v>89.153079852941175</v>
      </c>
      <c r="E72" s="1"/>
      <c r="F72" s="68">
        <f>F70/A59</f>
        <v>81.877977941176468</v>
      </c>
    </row>
    <row r="79" spans="1:12" x14ac:dyDescent="0.3">
      <c r="D79" s="43"/>
    </row>
    <row r="80" spans="1:12" x14ac:dyDescent="0.3">
      <c r="D80" s="43"/>
    </row>
    <row r="81" spans="4:4" x14ac:dyDescent="0.3">
      <c r="D81" s="43"/>
    </row>
    <row r="82" spans="4:4" x14ac:dyDescent="0.3">
      <c r="D82" s="43"/>
    </row>
    <row r="83" spans="4:4" x14ac:dyDescent="0.3">
      <c r="D83" s="43"/>
    </row>
  </sheetData>
  <mergeCells count="13">
    <mergeCell ref="L7:L8"/>
    <mergeCell ref="A1:F1"/>
    <mergeCell ref="A2:F2"/>
    <mergeCell ref="A3:F3"/>
    <mergeCell ref="A5:F5"/>
    <mergeCell ref="J7:K7"/>
    <mergeCell ref="B69:C69"/>
    <mergeCell ref="D13:E13"/>
    <mergeCell ref="D14:E14"/>
    <mergeCell ref="C58:F58"/>
    <mergeCell ref="C59:F59"/>
    <mergeCell ref="C60:F60"/>
    <mergeCell ref="B68:C68"/>
  </mergeCells>
  <pageMargins left="0.31496062992125984" right="0.31496062992125984" top="0.15748031496062992" bottom="0.15748031496062992" header="0.31496062992125984" footer="0.31496062992125984"/>
  <pageSetup paperSize="9" scale="95" orientation="landscape" verticalDpi="0" r:id="rId1"/>
  <ignoredErrors>
    <ignoredError sqref="I20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6FDBC-5094-44EC-9FA0-1183AC3EF8A4}">
  <dimension ref="A1:L74"/>
  <sheetViews>
    <sheetView topLeftCell="A35" workbookViewId="0">
      <selection activeCell="B50" sqref="B50"/>
    </sheetView>
  </sheetViews>
  <sheetFormatPr defaultRowHeight="14.4" x14ac:dyDescent="0.3"/>
  <cols>
    <col min="1" max="1" width="9.6640625" bestFit="1" customWidth="1"/>
    <col min="2" max="2" width="41.21875" bestFit="1" customWidth="1"/>
    <col min="3" max="3" width="15" bestFit="1" customWidth="1"/>
    <col min="4" max="4" width="10.33203125" bestFit="1" customWidth="1"/>
    <col min="5" max="5" width="7.5546875" bestFit="1" customWidth="1"/>
    <col min="6" max="6" width="8.5546875" bestFit="1" customWidth="1"/>
    <col min="7" max="7" width="9.109375" style="43" bestFit="1" customWidth="1"/>
    <col min="8" max="8" width="8" bestFit="1" customWidth="1"/>
    <col min="9" max="9" width="10.44140625" bestFit="1" customWidth="1"/>
    <col min="10" max="10" width="5.44140625" bestFit="1" customWidth="1"/>
    <col min="11" max="11" width="9.44140625" bestFit="1" customWidth="1"/>
    <col min="12" max="12" width="10.44140625" bestFit="1" customWidth="1"/>
    <col min="13" max="13" width="5" bestFit="1" customWidth="1"/>
    <col min="14" max="14" width="7" bestFit="1" customWidth="1"/>
  </cols>
  <sheetData>
    <row r="1" spans="1:12" x14ac:dyDescent="0.3">
      <c r="A1" s="114" t="s">
        <v>0</v>
      </c>
      <c r="B1" s="115"/>
      <c r="C1" s="115"/>
      <c r="D1" s="115"/>
      <c r="E1" s="115"/>
      <c r="F1" s="115"/>
      <c r="G1" s="1"/>
      <c r="H1" s="2"/>
      <c r="I1" s="2"/>
      <c r="J1" s="2"/>
      <c r="K1" s="2"/>
      <c r="L1" s="2"/>
    </row>
    <row r="2" spans="1:12" x14ac:dyDescent="0.3">
      <c r="A2" s="114" t="s">
        <v>1</v>
      </c>
      <c r="B2" s="115"/>
      <c r="C2" s="115"/>
      <c r="D2" s="115"/>
      <c r="E2" s="115"/>
      <c r="F2" s="115"/>
      <c r="G2" s="1"/>
      <c r="H2" s="2"/>
      <c r="I2" s="2"/>
      <c r="J2" s="2"/>
      <c r="K2" s="2"/>
      <c r="L2" s="2"/>
    </row>
    <row r="3" spans="1:12" ht="18" x14ac:dyDescent="0.35">
      <c r="A3" s="116" t="s">
        <v>195</v>
      </c>
      <c r="B3" s="116"/>
      <c r="C3" s="116"/>
      <c r="D3" s="116"/>
      <c r="E3" s="116"/>
      <c r="F3" s="116"/>
      <c r="G3" s="3"/>
      <c r="H3" s="4"/>
      <c r="I3" s="4"/>
      <c r="J3" s="4"/>
      <c r="K3" s="4"/>
      <c r="L3" s="4"/>
    </row>
    <row r="4" spans="1:12" x14ac:dyDescent="0.3">
      <c r="G4" s="1"/>
      <c r="H4" s="2"/>
      <c r="I4" s="2"/>
      <c r="J4" s="2"/>
      <c r="K4" s="2"/>
      <c r="L4" s="2"/>
    </row>
    <row r="5" spans="1:12" ht="21" x14ac:dyDescent="0.4">
      <c r="A5" s="128" t="s">
        <v>2</v>
      </c>
      <c r="B5" s="129"/>
      <c r="C5" s="129"/>
      <c r="D5" s="129"/>
      <c r="E5" s="129"/>
      <c r="F5" s="129"/>
      <c r="G5" s="1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1"/>
      <c r="H6" s="2"/>
      <c r="I6" s="2"/>
      <c r="J6" s="2"/>
      <c r="K6" s="2"/>
      <c r="L6" s="2"/>
    </row>
    <row r="7" spans="1:12" ht="24" x14ac:dyDescent="0.3">
      <c r="A7" s="5" t="s">
        <v>3</v>
      </c>
      <c r="B7" s="6" t="s">
        <v>4</v>
      </c>
      <c r="C7" s="7" t="s">
        <v>5</v>
      </c>
      <c r="D7" s="7" t="s">
        <v>6</v>
      </c>
      <c r="E7" s="7" t="s">
        <v>7</v>
      </c>
      <c r="F7" s="6" t="s">
        <v>8</v>
      </c>
      <c r="G7" s="7" t="s">
        <v>9</v>
      </c>
      <c r="H7" s="8" t="s">
        <v>10</v>
      </c>
      <c r="I7" s="7" t="s">
        <v>11</v>
      </c>
      <c r="J7" s="117" t="s">
        <v>12</v>
      </c>
      <c r="K7" s="118"/>
      <c r="L7" s="119" t="s">
        <v>13</v>
      </c>
    </row>
    <row r="8" spans="1:12" x14ac:dyDescent="0.3">
      <c r="A8" s="9" t="s">
        <v>14</v>
      </c>
      <c r="B8" s="9"/>
      <c r="C8" s="10"/>
      <c r="D8" s="10"/>
      <c r="E8" s="10"/>
      <c r="F8" s="9"/>
      <c r="G8" s="10"/>
      <c r="H8" s="10"/>
      <c r="I8" s="10"/>
      <c r="J8" s="10" t="s">
        <v>15</v>
      </c>
      <c r="K8" s="11" t="s">
        <v>11</v>
      </c>
      <c r="L8" s="119"/>
    </row>
    <row r="9" spans="1:12" x14ac:dyDescent="0.3">
      <c r="A9" s="12"/>
      <c r="B9" s="13" t="s">
        <v>140</v>
      </c>
      <c r="C9" s="20" t="s">
        <v>115</v>
      </c>
      <c r="D9" s="14" t="s">
        <v>17</v>
      </c>
      <c r="E9" s="15">
        <v>0</v>
      </c>
      <c r="F9" s="15">
        <f>E9*F10</f>
        <v>0</v>
      </c>
      <c r="G9" s="14">
        <v>9.5</v>
      </c>
      <c r="H9" s="16">
        <f>F9*G9</f>
        <v>0</v>
      </c>
      <c r="I9" s="17">
        <f>F9*G9</f>
        <v>0</v>
      </c>
      <c r="J9" s="18">
        <v>0.12</v>
      </c>
      <c r="K9" s="19">
        <f>I9*J9</f>
        <v>0</v>
      </c>
      <c r="L9" s="15">
        <f>I9+K9</f>
        <v>0</v>
      </c>
    </row>
    <row r="10" spans="1:12" ht="18" x14ac:dyDescent="0.3">
      <c r="A10" s="21"/>
      <c r="B10" s="13" t="s">
        <v>143</v>
      </c>
      <c r="C10" s="22"/>
      <c r="D10" s="22"/>
      <c r="E10" s="23"/>
      <c r="F10" s="24">
        <v>1</v>
      </c>
      <c r="G10" s="23"/>
      <c r="H10" s="25">
        <f>SUM(H9:H9)</f>
        <v>0</v>
      </c>
      <c r="I10" s="26">
        <f>SUM(I9:I9)</f>
        <v>0</v>
      </c>
      <c r="J10" s="27"/>
      <c r="K10" s="28">
        <f>SUM(K9:K9)</f>
        <v>0</v>
      </c>
      <c r="L10" s="29">
        <f>SUM(L9:L9)</f>
        <v>0</v>
      </c>
    </row>
    <row r="11" spans="1:12" x14ac:dyDescent="0.3">
      <c r="A11" s="12"/>
      <c r="B11" s="12"/>
      <c r="C11" s="14"/>
      <c r="D11" s="120" t="s">
        <v>19</v>
      </c>
      <c r="E11" s="121"/>
      <c r="F11" s="35" t="s">
        <v>20</v>
      </c>
      <c r="G11" s="36">
        <f>I10/F10</f>
        <v>0</v>
      </c>
      <c r="H11" s="37"/>
      <c r="I11" s="38"/>
      <c r="J11" s="39"/>
      <c r="K11" s="40"/>
      <c r="L11" s="41"/>
    </row>
    <row r="12" spans="1:12" x14ac:dyDescent="0.3">
      <c r="A12" s="12"/>
      <c r="B12" s="12"/>
      <c r="C12" s="14"/>
      <c r="D12" s="120" t="s">
        <v>21</v>
      </c>
      <c r="E12" s="121"/>
      <c r="F12" s="35" t="s">
        <v>20</v>
      </c>
      <c r="G12" s="36">
        <f>L10/F10</f>
        <v>0</v>
      </c>
      <c r="H12" s="37"/>
      <c r="I12" s="38"/>
      <c r="J12" s="39"/>
      <c r="K12" s="40"/>
      <c r="L12" s="41"/>
    </row>
    <row r="13" spans="1:12" x14ac:dyDescent="0.3">
      <c r="A13" s="12"/>
      <c r="B13" s="12"/>
      <c r="C13" s="14"/>
      <c r="D13" s="33"/>
      <c r="E13" s="34"/>
      <c r="F13" s="35"/>
      <c r="G13" s="36"/>
      <c r="H13" s="37"/>
      <c r="I13" s="38"/>
      <c r="J13" s="39"/>
      <c r="K13" s="40"/>
      <c r="L13" s="41"/>
    </row>
    <row r="14" spans="1:12" x14ac:dyDescent="0.3">
      <c r="A14" s="9" t="s">
        <v>22</v>
      </c>
      <c r="B14" s="42"/>
      <c r="C14" s="14"/>
      <c r="D14" s="14"/>
      <c r="E14" s="14"/>
      <c r="F14" s="41"/>
      <c r="G14" s="14"/>
      <c r="H14" s="37"/>
      <c r="I14" s="38"/>
      <c r="J14" s="39"/>
      <c r="K14" s="40"/>
      <c r="L14" s="41"/>
    </row>
    <row r="15" spans="1:12" x14ac:dyDescent="0.3">
      <c r="A15" s="9" t="s">
        <v>22</v>
      </c>
      <c r="B15" s="42" t="s">
        <v>199</v>
      </c>
      <c r="C15" s="14" t="str">
        <f>C9</f>
        <v>DARK BROWN</v>
      </c>
      <c r="D15" s="14" t="s">
        <v>24</v>
      </c>
      <c r="E15" s="14">
        <v>1.25</v>
      </c>
      <c r="F15" s="41">
        <f>E15*F10</f>
        <v>1.25</v>
      </c>
      <c r="G15" s="14">
        <v>17</v>
      </c>
      <c r="H15" s="37">
        <f>E15*G15</f>
        <v>21.25</v>
      </c>
      <c r="I15" s="38">
        <f>F15*G15</f>
        <v>21.25</v>
      </c>
      <c r="J15" s="39">
        <v>0.12</v>
      </c>
      <c r="K15" s="40">
        <f>I15*J15</f>
        <v>2.5499999999999998</v>
      </c>
      <c r="L15" s="41">
        <f>I15+K15</f>
        <v>23.8</v>
      </c>
    </row>
    <row r="16" spans="1:12" x14ac:dyDescent="0.3">
      <c r="A16" s="9"/>
      <c r="B16" s="42" t="s">
        <v>196</v>
      </c>
      <c r="C16" s="14" t="str">
        <f>C9</f>
        <v>DARK BROWN</v>
      </c>
      <c r="D16" s="14" t="s">
        <v>24</v>
      </c>
      <c r="E16" s="14">
        <v>1.25</v>
      </c>
      <c r="F16" s="41">
        <f>F10*E16</f>
        <v>1.25</v>
      </c>
      <c r="G16" s="14">
        <v>45</v>
      </c>
      <c r="H16" s="37">
        <f>E16*G16</f>
        <v>56.25</v>
      </c>
      <c r="I16" s="38">
        <f>F16*G16</f>
        <v>56.25</v>
      </c>
      <c r="J16" s="39">
        <v>0.12</v>
      </c>
      <c r="K16" s="40">
        <f>I16*J16</f>
        <v>6.75</v>
      </c>
      <c r="L16" s="41">
        <f>I16+K16</f>
        <v>63</v>
      </c>
    </row>
    <row r="17" spans="1:12" x14ac:dyDescent="0.3">
      <c r="A17" s="9"/>
      <c r="B17" s="42" t="s">
        <v>155</v>
      </c>
      <c r="C17" s="14" t="str">
        <f>C9</f>
        <v>DARK BROWN</v>
      </c>
      <c r="D17" s="14" t="s">
        <v>24</v>
      </c>
      <c r="E17" s="14">
        <v>1.25</v>
      </c>
      <c r="F17" s="41">
        <f>E17*F10</f>
        <v>1.25</v>
      </c>
      <c r="G17" s="14">
        <f>38*2</f>
        <v>76</v>
      </c>
      <c r="H17" s="37">
        <f>E17*G17</f>
        <v>95</v>
      </c>
      <c r="I17" s="38">
        <f>F17*G17</f>
        <v>95</v>
      </c>
      <c r="J17" s="39">
        <v>0.12</v>
      </c>
      <c r="K17" s="40">
        <f>I17*J17</f>
        <v>11.4</v>
      </c>
      <c r="L17" s="41">
        <f>I17+K17</f>
        <v>106.4</v>
      </c>
    </row>
    <row r="18" spans="1:12" x14ac:dyDescent="0.3">
      <c r="A18" s="9"/>
      <c r="B18" s="42"/>
      <c r="C18" s="14"/>
      <c r="D18" s="14"/>
      <c r="E18" s="14"/>
      <c r="F18" s="41"/>
      <c r="G18" s="14"/>
      <c r="H18" s="37"/>
      <c r="I18" s="38"/>
      <c r="J18" s="39"/>
      <c r="K18" s="40"/>
      <c r="L18" s="41"/>
    </row>
    <row r="19" spans="1:12" x14ac:dyDescent="0.3">
      <c r="A19" s="9" t="s">
        <v>26</v>
      </c>
      <c r="B19" s="12" t="s">
        <v>27</v>
      </c>
      <c r="C19" s="14" t="str">
        <f>C9</f>
        <v>DARK BROWN</v>
      </c>
      <c r="D19" s="14" t="s">
        <v>28</v>
      </c>
      <c r="E19" s="14">
        <v>150</v>
      </c>
      <c r="F19" s="41">
        <f>E19*F10</f>
        <v>150</v>
      </c>
      <c r="G19" s="14">
        <v>125</v>
      </c>
      <c r="H19" s="37">
        <f>F19/1000*G19/F10</f>
        <v>18.75</v>
      </c>
      <c r="I19" s="38">
        <f>F19/1000*G19</f>
        <v>18.75</v>
      </c>
      <c r="J19" s="39">
        <v>0.12</v>
      </c>
      <c r="K19" s="40">
        <f>I19*J19</f>
        <v>2.25</v>
      </c>
      <c r="L19" s="41">
        <f>I19+K19</f>
        <v>21</v>
      </c>
    </row>
    <row r="20" spans="1:12" x14ac:dyDescent="0.3">
      <c r="A20" s="9"/>
      <c r="B20" s="12" t="s">
        <v>29</v>
      </c>
      <c r="C20" s="14" t="str">
        <f>C9</f>
        <v>DARK BROWN</v>
      </c>
      <c r="D20" s="14" t="s">
        <v>28</v>
      </c>
      <c r="E20" s="14">
        <v>150</v>
      </c>
      <c r="F20" s="41">
        <f>E20*F10</f>
        <v>150</v>
      </c>
      <c r="G20" s="14">
        <v>257</v>
      </c>
      <c r="H20" s="37">
        <f>F20/5000*G20/F10</f>
        <v>7.71</v>
      </c>
      <c r="I20" s="38">
        <f>H20*F10</f>
        <v>7.71</v>
      </c>
      <c r="J20" s="39">
        <v>0.12</v>
      </c>
      <c r="K20" s="40">
        <f>I20*J20</f>
        <v>0.92519999999999991</v>
      </c>
      <c r="L20" s="41">
        <f>I20+K20</f>
        <v>8.6351999999999993</v>
      </c>
    </row>
    <row r="21" spans="1:12" x14ac:dyDescent="0.3">
      <c r="A21" s="9"/>
      <c r="B21" s="12"/>
      <c r="C21" s="14"/>
      <c r="D21" s="14"/>
      <c r="E21" s="14"/>
      <c r="F21" s="41"/>
      <c r="G21" s="14"/>
      <c r="H21" s="37"/>
      <c r="I21" s="38"/>
      <c r="J21" s="39"/>
      <c r="K21" s="40"/>
      <c r="L21" s="41"/>
    </row>
    <row r="22" spans="1:12" x14ac:dyDescent="0.3">
      <c r="A22" s="9"/>
      <c r="B22" s="12" t="s">
        <v>197</v>
      </c>
      <c r="C22" s="14">
        <f>C5</f>
        <v>0</v>
      </c>
      <c r="D22" s="14" t="s">
        <v>43</v>
      </c>
      <c r="E22" s="14">
        <v>1</v>
      </c>
      <c r="F22" s="41">
        <f>E22*F10</f>
        <v>1</v>
      </c>
      <c r="G22" s="14">
        <v>165</v>
      </c>
      <c r="H22" s="37">
        <f t="shared" ref="H22" si="0">E22*G22</f>
        <v>165</v>
      </c>
      <c r="I22" s="38">
        <f t="shared" ref="I22" si="1">F22*G22</f>
        <v>165</v>
      </c>
      <c r="J22" s="39">
        <v>0.18</v>
      </c>
      <c r="K22" s="40">
        <f t="shared" ref="K22" si="2">I22*J22</f>
        <v>29.7</v>
      </c>
      <c r="L22" s="41">
        <f t="shared" ref="L22" si="3">I22+K22</f>
        <v>194.7</v>
      </c>
    </row>
    <row r="23" spans="1:12" x14ac:dyDescent="0.3">
      <c r="A23" s="9"/>
      <c r="B23" s="12" t="s">
        <v>198</v>
      </c>
      <c r="C23" s="14">
        <f>C6</f>
        <v>0</v>
      </c>
      <c r="D23" s="14" t="s">
        <v>43</v>
      </c>
      <c r="E23" s="14">
        <v>1</v>
      </c>
      <c r="F23" s="41">
        <f>E23*F10</f>
        <v>1</v>
      </c>
      <c r="G23" s="14">
        <v>100</v>
      </c>
      <c r="H23" s="37">
        <f t="shared" ref="H23" si="4">E23*G23</f>
        <v>100</v>
      </c>
      <c r="I23" s="38">
        <f t="shared" ref="I23" si="5">F23*G23</f>
        <v>100</v>
      </c>
      <c r="J23" s="39">
        <v>0.18</v>
      </c>
      <c r="K23" s="40">
        <f t="shared" ref="K23" si="6">I23*J23</f>
        <v>18</v>
      </c>
      <c r="L23" s="41">
        <f t="shared" ref="L23" si="7">I23+K23</f>
        <v>118</v>
      </c>
    </row>
    <row r="24" spans="1:12" x14ac:dyDescent="0.3">
      <c r="A24" s="12"/>
      <c r="B24" s="12"/>
      <c r="C24" s="14"/>
      <c r="D24" s="14"/>
      <c r="E24" s="14"/>
      <c r="F24" s="12"/>
      <c r="G24" s="14"/>
      <c r="H24" s="37"/>
      <c r="I24" s="38"/>
      <c r="J24" s="39"/>
      <c r="K24" s="40"/>
      <c r="L24" s="41"/>
    </row>
    <row r="25" spans="1:12" x14ac:dyDescent="0.3">
      <c r="A25" s="12" t="s">
        <v>47</v>
      </c>
      <c r="B25" s="12" t="s">
        <v>154</v>
      </c>
      <c r="C25" s="14" t="s">
        <v>36</v>
      </c>
      <c r="D25" s="14" t="s">
        <v>43</v>
      </c>
      <c r="E25" s="14">
        <v>1</v>
      </c>
      <c r="F25" s="41">
        <f>E25*F10</f>
        <v>1</v>
      </c>
      <c r="G25" s="14">
        <v>7.5</v>
      </c>
      <c r="H25" s="37">
        <f>E25*G25</f>
        <v>7.5</v>
      </c>
      <c r="I25" s="38">
        <f>F25*G25</f>
        <v>7.5</v>
      </c>
      <c r="J25" s="39">
        <v>0.12</v>
      </c>
      <c r="K25" s="40">
        <f>I25*J25</f>
        <v>0.89999999999999991</v>
      </c>
      <c r="L25" s="41">
        <f>I25+K25</f>
        <v>8.4</v>
      </c>
    </row>
    <row r="26" spans="1:12" x14ac:dyDescent="0.3">
      <c r="A26" s="12"/>
      <c r="B26" s="12" t="s">
        <v>49</v>
      </c>
      <c r="C26" s="14" t="s">
        <v>36</v>
      </c>
      <c r="D26" s="14" t="s">
        <v>43</v>
      </c>
      <c r="E26" s="14">
        <v>1</v>
      </c>
      <c r="F26" s="41">
        <f>E26*F10</f>
        <v>1</v>
      </c>
      <c r="G26" s="14">
        <v>3.5</v>
      </c>
      <c r="H26" s="37">
        <f>E26*G26</f>
        <v>3.5</v>
      </c>
      <c r="I26" s="38">
        <f>F26*G26</f>
        <v>3.5</v>
      </c>
      <c r="J26" s="39">
        <v>0.12</v>
      </c>
      <c r="K26" s="40">
        <f>I26*J26</f>
        <v>0.42</v>
      </c>
      <c r="L26" s="41">
        <f>I26+K26</f>
        <v>3.92</v>
      </c>
    </row>
    <row r="27" spans="1:12" x14ac:dyDescent="0.3">
      <c r="A27" s="9"/>
      <c r="B27" s="12" t="s">
        <v>50</v>
      </c>
      <c r="C27" s="14" t="s">
        <v>36</v>
      </c>
      <c r="D27" s="14" t="s">
        <v>43</v>
      </c>
      <c r="E27" s="14">
        <v>1</v>
      </c>
      <c r="F27" s="41">
        <f>E27*F10</f>
        <v>1</v>
      </c>
      <c r="G27" s="14">
        <v>4</v>
      </c>
      <c r="H27" s="37">
        <v>4</v>
      </c>
      <c r="I27" s="38">
        <f>F27*G27</f>
        <v>4</v>
      </c>
      <c r="J27" s="39">
        <v>0.12</v>
      </c>
      <c r="K27" s="40">
        <f>I27*J27</f>
        <v>0.48</v>
      </c>
      <c r="L27" s="41">
        <f>I27+K27</f>
        <v>4.4800000000000004</v>
      </c>
    </row>
    <row r="28" spans="1:12" x14ac:dyDescent="0.3">
      <c r="A28" s="9"/>
      <c r="B28" s="12"/>
      <c r="C28" s="14"/>
      <c r="D28" s="14"/>
      <c r="E28" s="14"/>
      <c r="F28" s="41"/>
      <c r="G28" s="14"/>
      <c r="H28" s="12"/>
      <c r="I28" s="41"/>
      <c r="J28" s="39"/>
      <c r="K28" s="41"/>
      <c r="L28" s="41"/>
    </row>
    <row r="29" spans="1:12" ht="39.6" x14ac:dyDescent="0.3">
      <c r="A29" s="44" t="s">
        <v>51</v>
      </c>
      <c r="B29" s="21" t="s">
        <v>52</v>
      </c>
      <c r="C29" s="23" t="s">
        <v>36</v>
      </c>
      <c r="D29" s="23" t="s">
        <v>43</v>
      </c>
      <c r="E29" s="23">
        <v>1</v>
      </c>
      <c r="F29" s="45">
        <f>F10*E29</f>
        <v>1</v>
      </c>
      <c r="G29" s="23">
        <v>12</v>
      </c>
      <c r="H29" s="46">
        <f t="shared" ref="H29:H34" si="8">E29*G29</f>
        <v>12</v>
      </c>
      <c r="I29" s="47">
        <f t="shared" ref="I29:I33" si="9">F29*G29</f>
        <v>12</v>
      </c>
      <c r="J29" s="48">
        <v>0.18</v>
      </c>
      <c r="K29" s="49">
        <f t="shared" ref="K29:K34" si="10">I29*J29</f>
        <v>2.16</v>
      </c>
      <c r="L29" s="45">
        <f t="shared" ref="L29:L35" si="11">I29+K29</f>
        <v>14.16</v>
      </c>
    </row>
    <row r="30" spans="1:12" x14ac:dyDescent="0.3">
      <c r="A30" s="12"/>
      <c r="B30" s="12" t="s">
        <v>53</v>
      </c>
      <c r="C30" s="14" t="s">
        <v>36</v>
      </c>
      <c r="D30" s="14" t="s">
        <v>43</v>
      </c>
      <c r="E30" s="14">
        <v>1</v>
      </c>
      <c r="F30" s="41">
        <f>E30*F10</f>
        <v>1</v>
      </c>
      <c r="G30" s="14">
        <v>0</v>
      </c>
      <c r="H30" s="37">
        <f t="shared" si="8"/>
        <v>0</v>
      </c>
      <c r="I30" s="38">
        <f t="shared" si="9"/>
        <v>0</v>
      </c>
      <c r="J30" s="39">
        <v>0.18</v>
      </c>
      <c r="K30" s="40">
        <f t="shared" si="10"/>
        <v>0</v>
      </c>
      <c r="L30" s="41">
        <f t="shared" si="11"/>
        <v>0</v>
      </c>
    </row>
    <row r="31" spans="1:12" x14ac:dyDescent="0.3">
      <c r="A31" s="12"/>
      <c r="B31" s="12" t="s">
        <v>54</v>
      </c>
      <c r="C31" s="14" t="s">
        <v>36</v>
      </c>
      <c r="D31" s="14" t="s">
        <v>55</v>
      </c>
      <c r="E31" s="14">
        <v>1</v>
      </c>
      <c r="F31" s="41">
        <f>E31*F10</f>
        <v>1</v>
      </c>
      <c r="G31" s="14">
        <v>0</v>
      </c>
      <c r="H31" s="37">
        <f t="shared" si="8"/>
        <v>0</v>
      </c>
      <c r="I31" s="38">
        <f t="shared" si="9"/>
        <v>0</v>
      </c>
      <c r="J31" s="39">
        <v>0.18</v>
      </c>
      <c r="K31" s="40">
        <f t="shared" si="10"/>
        <v>0</v>
      </c>
      <c r="L31" s="41">
        <f t="shared" si="11"/>
        <v>0</v>
      </c>
    </row>
    <row r="32" spans="1:12" x14ac:dyDescent="0.3">
      <c r="A32" s="12"/>
      <c r="B32" s="12" t="s">
        <v>56</v>
      </c>
      <c r="C32" s="14" t="s">
        <v>36</v>
      </c>
      <c r="D32" s="14" t="s">
        <v>55</v>
      </c>
      <c r="E32" s="14">
        <v>0.2</v>
      </c>
      <c r="F32" s="41">
        <f>E32*F10</f>
        <v>0.2</v>
      </c>
      <c r="G32" s="14">
        <v>115</v>
      </c>
      <c r="H32" s="37">
        <v>15</v>
      </c>
      <c r="I32" s="38">
        <f>H32*F10</f>
        <v>15</v>
      </c>
      <c r="J32" s="39">
        <v>0.18</v>
      </c>
      <c r="K32" s="40">
        <f t="shared" si="10"/>
        <v>2.6999999999999997</v>
      </c>
      <c r="L32" s="41">
        <f t="shared" si="11"/>
        <v>17.7</v>
      </c>
    </row>
    <row r="33" spans="1:12" x14ac:dyDescent="0.3">
      <c r="A33" s="12"/>
      <c r="B33" s="12" t="s">
        <v>57</v>
      </c>
      <c r="C33" s="14" t="s">
        <v>36</v>
      </c>
      <c r="D33" s="14" t="s">
        <v>58</v>
      </c>
      <c r="E33" s="14">
        <v>2</v>
      </c>
      <c r="F33" s="41">
        <f>E33*F10</f>
        <v>2</v>
      </c>
      <c r="G33" s="14">
        <v>1.35</v>
      </c>
      <c r="H33" s="37">
        <f t="shared" si="8"/>
        <v>2.7</v>
      </c>
      <c r="I33" s="38">
        <f t="shared" si="9"/>
        <v>2.7</v>
      </c>
      <c r="J33" s="39">
        <v>0.18</v>
      </c>
      <c r="K33" s="40">
        <f t="shared" si="10"/>
        <v>0.48599999999999999</v>
      </c>
      <c r="L33" s="41">
        <f t="shared" si="11"/>
        <v>3.1859999999999999</v>
      </c>
    </row>
    <row r="34" spans="1:12" x14ac:dyDescent="0.3">
      <c r="A34" s="12"/>
      <c r="B34" s="12" t="s">
        <v>59</v>
      </c>
      <c r="C34" s="14" t="s">
        <v>36</v>
      </c>
      <c r="D34" s="14" t="s">
        <v>43</v>
      </c>
      <c r="E34" s="14">
        <v>7.0000000000000007E-2</v>
      </c>
      <c r="F34" s="41">
        <f>E34*F10</f>
        <v>7.0000000000000007E-2</v>
      </c>
      <c r="G34" s="14">
        <v>168</v>
      </c>
      <c r="H34" s="37">
        <f t="shared" si="8"/>
        <v>11.760000000000002</v>
      </c>
      <c r="I34" s="38">
        <f>F34*G34</f>
        <v>11.760000000000002</v>
      </c>
      <c r="J34" s="39">
        <v>0.18</v>
      </c>
      <c r="K34" s="40">
        <f t="shared" si="10"/>
        <v>2.1168</v>
      </c>
      <c r="L34" s="41">
        <f t="shared" si="11"/>
        <v>13.876800000000001</v>
      </c>
    </row>
    <row r="35" spans="1:12" x14ac:dyDescent="0.3">
      <c r="A35" s="12"/>
      <c r="B35" s="12" t="s">
        <v>60</v>
      </c>
      <c r="C35" s="14" t="s">
        <v>61</v>
      </c>
      <c r="D35" s="14" t="s">
        <v>62</v>
      </c>
      <c r="E35" s="14">
        <f>0.1</f>
        <v>0.1</v>
      </c>
      <c r="F35" s="41">
        <f>E35*F10</f>
        <v>0.1</v>
      </c>
      <c r="G35" s="14">
        <v>54</v>
      </c>
      <c r="H35" s="37">
        <f>E35*G35</f>
        <v>5.4</v>
      </c>
      <c r="I35" s="38">
        <f>F35*G35</f>
        <v>5.4</v>
      </c>
      <c r="J35" s="39">
        <v>0.18</v>
      </c>
      <c r="K35" s="40">
        <f>I35*J35</f>
        <v>0.97199999999999998</v>
      </c>
      <c r="L35" s="41">
        <f t="shared" si="11"/>
        <v>6.3719999999999999</v>
      </c>
    </row>
    <row r="36" spans="1:12" x14ac:dyDescent="0.3">
      <c r="A36" s="12"/>
      <c r="B36" s="12"/>
      <c r="C36" s="14"/>
      <c r="D36" s="14"/>
      <c r="E36" s="14"/>
      <c r="F36" s="41"/>
      <c r="G36" s="14"/>
      <c r="H36" s="50">
        <f>SUM(H15:H35)</f>
        <v>525.82000000000005</v>
      </c>
      <c r="I36" s="50">
        <f>SUM(I15:I35)</f>
        <v>525.82000000000005</v>
      </c>
      <c r="J36" s="51"/>
      <c r="K36" s="52">
        <f>SUM(K15:K35)</f>
        <v>81.81</v>
      </c>
      <c r="L36" s="53">
        <f>SUM(L15:L35)</f>
        <v>607.63</v>
      </c>
    </row>
    <row r="37" spans="1:12" x14ac:dyDescent="0.3">
      <c r="A37" s="12" t="s">
        <v>63</v>
      </c>
      <c r="B37" s="12" t="s">
        <v>64</v>
      </c>
      <c r="C37" s="15"/>
      <c r="D37" s="14" t="s">
        <v>43</v>
      </c>
      <c r="E37" s="14">
        <f>C37*1%</f>
        <v>0</v>
      </c>
      <c r="F37" s="41">
        <f>F10</f>
        <v>1</v>
      </c>
      <c r="G37" s="14">
        <f>E37</f>
        <v>0</v>
      </c>
      <c r="H37" s="38">
        <f>G37</f>
        <v>0</v>
      </c>
      <c r="I37" s="38">
        <f>H37*F37</f>
        <v>0</v>
      </c>
      <c r="J37" s="39">
        <v>0.18</v>
      </c>
      <c r="K37" s="40">
        <f t="shared" ref="K37:K45" si="12">I37*J37</f>
        <v>0</v>
      </c>
      <c r="L37" s="41">
        <f t="shared" ref="L37:L45" si="13">I37+K37</f>
        <v>0</v>
      </c>
    </row>
    <row r="38" spans="1:12" x14ac:dyDescent="0.3">
      <c r="A38" s="12"/>
      <c r="B38" s="12" t="s">
        <v>65</v>
      </c>
      <c r="C38" s="15"/>
      <c r="D38" s="14" t="s">
        <v>43</v>
      </c>
      <c r="E38" s="14">
        <f>C38*1%</f>
        <v>0</v>
      </c>
      <c r="F38" s="41">
        <f>F10</f>
        <v>1</v>
      </c>
      <c r="G38" s="14">
        <f>E38</f>
        <v>0</v>
      </c>
      <c r="H38" s="38">
        <f>G38</f>
        <v>0</v>
      </c>
      <c r="I38" s="38">
        <f>H38*F38</f>
        <v>0</v>
      </c>
      <c r="J38" s="39">
        <v>0.18</v>
      </c>
      <c r="K38" s="40">
        <f t="shared" si="12"/>
        <v>0</v>
      </c>
      <c r="L38" s="41">
        <f t="shared" si="13"/>
        <v>0</v>
      </c>
    </row>
    <row r="39" spans="1:12" x14ac:dyDescent="0.3">
      <c r="A39" s="12"/>
      <c r="B39" s="12" t="s">
        <v>66</v>
      </c>
      <c r="C39" s="15"/>
      <c r="D39" s="14" t="s">
        <v>43</v>
      </c>
      <c r="E39" s="14">
        <f>C39*5%</f>
        <v>0</v>
      </c>
      <c r="F39" s="41">
        <f>F10</f>
        <v>1</v>
      </c>
      <c r="G39" s="14">
        <f t="shared" ref="G39:G44" si="14">E39</f>
        <v>0</v>
      </c>
      <c r="H39" s="38">
        <f t="shared" ref="H39:H44" si="15">G39</f>
        <v>0</v>
      </c>
      <c r="I39" s="38">
        <f>H39*F39</f>
        <v>0</v>
      </c>
      <c r="J39" s="39"/>
      <c r="K39" s="40">
        <f t="shared" si="12"/>
        <v>0</v>
      </c>
      <c r="L39" s="41">
        <f t="shared" si="13"/>
        <v>0</v>
      </c>
    </row>
    <row r="40" spans="1:12" x14ac:dyDescent="0.3">
      <c r="A40" s="12"/>
      <c r="B40" s="12" t="s">
        <v>67</v>
      </c>
      <c r="C40" s="15"/>
      <c r="D40" s="14" t="s">
        <v>43</v>
      </c>
      <c r="E40" s="14">
        <f>C40*7%</f>
        <v>0</v>
      </c>
      <c r="F40" s="41">
        <f>F10</f>
        <v>1</v>
      </c>
      <c r="G40" s="14">
        <f t="shared" si="14"/>
        <v>0</v>
      </c>
      <c r="H40" s="38">
        <f t="shared" si="15"/>
        <v>0</v>
      </c>
      <c r="I40" s="38">
        <f>H40*F40</f>
        <v>0</v>
      </c>
      <c r="J40" s="12"/>
      <c r="K40" s="40">
        <f t="shared" si="12"/>
        <v>0</v>
      </c>
      <c r="L40" s="41">
        <f t="shared" si="13"/>
        <v>0</v>
      </c>
    </row>
    <row r="41" spans="1:12" x14ac:dyDescent="0.3">
      <c r="A41" s="9" t="s">
        <v>68</v>
      </c>
      <c r="B41" s="12" t="s">
        <v>69</v>
      </c>
      <c r="C41" s="15"/>
      <c r="D41" s="14" t="s">
        <v>43</v>
      </c>
      <c r="E41" s="14">
        <f>C41*2.5%</f>
        <v>0</v>
      </c>
      <c r="F41" s="41">
        <f>F10</f>
        <v>1</v>
      </c>
      <c r="G41" s="14">
        <f t="shared" si="14"/>
        <v>0</v>
      </c>
      <c r="H41" s="38">
        <f t="shared" si="15"/>
        <v>0</v>
      </c>
      <c r="I41" s="38">
        <f t="shared" ref="I41:I45" si="16">H41*F41</f>
        <v>0</v>
      </c>
      <c r="J41" s="12"/>
      <c r="K41" s="40">
        <f t="shared" si="12"/>
        <v>0</v>
      </c>
      <c r="L41" s="41">
        <f t="shared" si="13"/>
        <v>0</v>
      </c>
    </row>
    <row r="42" spans="1:12" x14ac:dyDescent="0.3">
      <c r="A42" s="12"/>
      <c r="B42" s="12" t="s">
        <v>70</v>
      </c>
      <c r="C42" s="15"/>
      <c r="D42" s="14" t="s">
        <v>43</v>
      </c>
      <c r="E42" s="14">
        <f>C42*2%</f>
        <v>0</v>
      </c>
      <c r="F42" s="41">
        <f>F10</f>
        <v>1</v>
      </c>
      <c r="G42" s="14">
        <f t="shared" si="14"/>
        <v>0</v>
      </c>
      <c r="H42" s="38">
        <f t="shared" si="15"/>
        <v>0</v>
      </c>
      <c r="I42" s="38">
        <f t="shared" si="16"/>
        <v>0</v>
      </c>
      <c r="J42" s="12"/>
      <c r="K42" s="40">
        <f t="shared" si="12"/>
        <v>0</v>
      </c>
      <c r="L42" s="41">
        <f t="shared" si="13"/>
        <v>0</v>
      </c>
    </row>
    <row r="43" spans="1:12" x14ac:dyDescent="0.3">
      <c r="A43" s="12"/>
      <c r="B43" s="12" t="s">
        <v>71</v>
      </c>
      <c r="C43" s="15"/>
      <c r="D43" s="14" t="s">
        <v>43</v>
      </c>
      <c r="E43" s="14">
        <v>600</v>
      </c>
      <c r="F43" s="41">
        <f>F10</f>
        <v>1</v>
      </c>
      <c r="G43" s="14">
        <f t="shared" si="14"/>
        <v>600</v>
      </c>
      <c r="H43" s="38">
        <f t="shared" si="15"/>
        <v>600</v>
      </c>
      <c r="I43" s="38">
        <f t="shared" si="16"/>
        <v>600</v>
      </c>
      <c r="J43" s="12"/>
      <c r="K43" s="40">
        <f t="shared" si="12"/>
        <v>0</v>
      </c>
      <c r="L43" s="41">
        <f t="shared" si="13"/>
        <v>600</v>
      </c>
    </row>
    <row r="44" spans="1:12" x14ac:dyDescent="0.3">
      <c r="A44" s="12"/>
      <c r="B44" s="12" t="s">
        <v>72</v>
      </c>
      <c r="C44" s="15">
        <f>B50</f>
        <v>1147.5</v>
      </c>
      <c r="D44" s="14" t="s">
        <v>43</v>
      </c>
      <c r="E44" s="14">
        <f>C44*5%</f>
        <v>57.375</v>
      </c>
      <c r="F44" s="41">
        <f>F10</f>
        <v>1</v>
      </c>
      <c r="G44" s="14">
        <f t="shared" si="14"/>
        <v>57.375</v>
      </c>
      <c r="H44" s="38">
        <f t="shared" si="15"/>
        <v>57.375</v>
      </c>
      <c r="I44" s="38">
        <f t="shared" si="16"/>
        <v>57.375</v>
      </c>
      <c r="J44" s="12"/>
      <c r="K44" s="40">
        <f t="shared" si="12"/>
        <v>0</v>
      </c>
      <c r="L44" s="41">
        <f t="shared" si="13"/>
        <v>57.375</v>
      </c>
    </row>
    <row r="45" spans="1:12" x14ac:dyDescent="0.3">
      <c r="A45" s="12" t="s">
        <v>73</v>
      </c>
      <c r="B45" s="54" t="s">
        <v>74</v>
      </c>
      <c r="C45" s="55"/>
      <c r="D45" s="55" t="s">
        <v>43</v>
      </c>
      <c r="E45" s="55">
        <v>0</v>
      </c>
      <c r="F45" s="41">
        <f>F10</f>
        <v>1</v>
      </c>
      <c r="G45" s="55">
        <v>0</v>
      </c>
      <c r="H45" s="56">
        <v>0</v>
      </c>
      <c r="I45" s="38">
        <f t="shared" si="16"/>
        <v>0</v>
      </c>
      <c r="J45" s="54"/>
      <c r="K45" s="57">
        <f t="shared" si="12"/>
        <v>0</v>
      </c>
      <c r="L45" s="58">
        <f t="shared" si="13"/>
        <v>0</v>
      </c>
    </row>
    <row r="46" spans="1:12" x14ac:dyDescent="0.3">
      <c r="A46" s="2"/>
      <c r="B46" s="2"/>
      <c r="C46" s="1"/>
      <c r="D46" s="1"/>
      <c r="E46" s="1"/>
      <c r="F46" s="59">
        <f>F10</f>
        <v>1</v>
      </c>
      <c r="G46" s="1"/>
      <c r="H46" s="59">
        <f>SUM(H36:H45)</f>
        <v>1183.1950000000002</v>
      </c>
      <c r="I46" s="59">
        <f>SUM(I36:I45)</f>
        <v>1183.1950000000002</v>
      </c>
      <c r="J46" s="60"/>
      <c r="K46" s="59">
        <f>SUM(K36:K45)</f>
        <v>81.81</v>
      </c>
      <c r="L46" s="59">
        <f>SUM(L36:L45)</f>
        <v>1265.0050000000001</v>
      </c>
    </row>
    <row r="47" spans="1:12" x14ac:dyDescent="0.3">
      <c r="A47" s="2"/>
      <c r="B47" s="2"/>
      <c r="C47" s="1"/>
      <c r="D47" s="1"/>
      <c r="E47" s="1"/>
      <c r="F47" s="2"/>
      <c r="G47" s="1"/>
      <c r="H47" s="61"/>
      <c r="I47" s="61"/>
    </row>
    <row r="48" spans="1:12" ht="46.2" customHeight="1" x14ac:dyDescent="0.3">
      <c r="A48" s="2"/>
      <c r="B48" s="2"/>
      <c r="C48" s="1"/>
      <c r="D48" s="1"/>
      <c r="E48" s="1"/>
      <c r="F48" s="2"/>
      <c r="G48" s="62" t="s">
        <v>75</v>
      </c>
      <c r="H48" s="2"/>
      <c r="I48" s="2"/>
      <c r="J48" s="2"/>
      <c r="K48" s="61"/>
      <c r="L48" s="2"/>
    </row>
    <row r="49" spans="1:12" ht="18" x14ac:dyDescent="0.35">
      <c r="A49" s="63" t="s">
        <v>76</v>
      </c>
      <c r="B49" s="64">
        <v>13.5</v>
      </c>
      <c r="C49" s="122" t="s">
        <v>77</v>
      </c>
      <c r="D49" s="122"/>
      <c r="E49" s="122"/>
      <c r="F49" s="122"/>
      <c r="G49" s="65">
        <f>G11</f>
        <v>0</v>
      </c>
      <c r="H49" s="1"/>
      <c r="I49" s="1"/>
      <c r="J49" s="2"/>
      <c r="K49" s="2"/>
      <c r="L49" s="2"/>
    </row>
    <row r="50" spans="1:12" ht="18" x14ac:dyDescent="0.35">
      <c r="A50" s="63">
        <v>85</v>
      </c>
      <c r="B50" s="63">
        <f>B49*A50</f>
        <v>1147.5</v>
      </c>
      <c r="C50" s="122" t="s">
        <v>78</v>
      </c>
      <c r="D50" s="122"/>
      <c r="E50" s="122"/>
      <c r="F50" s="122"/>
      <c r="G50" s="65">
        <f>I46/F10</f>
        <v>1183.1950000000002</v>
      </c>
      <c r="H50" s="1"/>
      <c r="I50" s="1"/>
      <c r="J50" s="2"/>
      <c r="K50" s="2"/>
      <c r="L50" s="2"/>
    </row>
    <row r="51" spans="1:12" x14ac:dyDescent="0.3">
      <c r="A51" s="2"/>
      <c r="B51" s="2"/>
      <c r="C51" s="130" t="s">
        <v>79</v>
      </c>
      <c r="D51" s="130"/>
      <c r="E51" s="130"/>
      <c r="F51" s="130"/>
      <c r="G51" s="67">
        <f>SUM(G49:G50)</f>
        <v>1183.1950000000002</v>
      </c>
      <c r="H51" s="1"/>
      <c r="I51" s="1"/>
      <c r="J51" s="2"/>
      <c r="K51" s="2"/>
      <c r="L51" s="2"/>
    </row>
    <row r="52" spans="1:12" ht="14.4" customHeight="1" x14ac:dyDescent="0.35">
      <c r="A52" s="63" t="s">
        <v>76</v>
      </c>
      <c r="B52" s="64">
        <f>H53</f>
        <v>12.454684210526317</v>
      </c>
      <c r="C52" s="2"/>
      <c r="G52" s="1"/>
      <c r="H52" s="1"/>
      <c r="I52" s="1"/>
      <c r="J52" s="2"/>
      <c r="K52" s="2"/>
      <c r="L52" s="2"/>
    </row>
    <row r="53" spans="1:12" ht="14.4" customHeight="1" x14ac:dyDescent="0.35">
      <c r="A53" s="63">
        <v>95</v>
      </c>
      <c r="B53" s="64">
        <f>B52*A53</f>
        <v>1183.1950000000002</v>
      </c>
      <c r="C53" s="2"/>
      <c r="G53" s="68">
        <f>G51/A50</f>
        <v>13.919941176470591</v>
      </c>
      <c r="H53" s="69">
        <f>G51/A53</f>
        <v>12.454684210526317</v>
      </c>
      <c r="I53" s="1"/>
      <c r="J53" s="2"/>
      <c r="K53" s="2"/>
      <c r="L53" s="2"/>
    </row>
    <row r="54" spans="1:12" ht="14.4" customHeight="1" x14ac:dyDescent="0.3">
      <c r="A54" s="2"/>
      <c r="B54" s="109"/>
      <c r="D54" s="70" t="s">
        <v>80</v>
      </c>
      <c r="E54" s="1"/>
      <c r="F54" s="71"/>
      <c r="G54" s="71"/>
      <c r="H54" s="1"/>
      <c r="I54" s="1"/>
      <c r="J54" s="2"/>
      <c r="K54" s="2"/>
      <c r="L54" s="2"/>
    </row>
    <row r="55" spans="1:12" ht="14.4" customHeight="1" x14ac:dyDescent="0.3">
      <c r="A55" s="2"/>
      <c r="B55" s="109"/>
      <c r="D55" s="72" t="s">
        <v>81</v>
      </c>
      <c r="E55" s="73">
        <f>I46/F46</f>
        <v>1183.1950000000002</v>
      </c>
      <c r="F55" s="74" t="s">
        <v>20</v>
      </c>
      <c r="G55" s="71"/>
      <c r="H55" s="1"/>
      <c r="I55" s="1"/>
      <c r="J55" s="2"/>
      <c r="K55" s="2"/>
      <c r="L55" s="2"/>
    </row>
    <row r="56" spans="1:12" x14ac:dyDescent="0.3">
      <c r="A56" s="2"/>
      <c r="B56" s="75"/>
      <c r="C56" s="2"/>
      <c r="D56" s="72" t="s">
        <v>21</v>
      </c>
      <c r="E56" s="73">
        <f>L46/F46</f>
        <v>1265.0050000000001</v>
      </c>
      <c r="F56" s="74" t="s">
        <v>20</v>
      </c>
      <c r="G56" s="71"/>
      <c r="H56" s="1"/>
      <c r="I56" s="1"/>
      <c r="J56" s="2"/>
      <c r="K56" s="2"/>
      <c r="L56" s="2"/>
    </row>
    <row r="57" spans="1:12" x14ac:dyDescent="0.3">
      <c r="A57" s="2"/>
      <c r="B57" s="2"/>
      <c r="C57" s="1"/>
      <c r="D57" s="76"/>
      <c r="E57" s="71"/>
      <c r="F57" s="71"/>
      <c r="G57" s="1"/>
      <c r="H57" s="2"/>
      <c r="I57" s="2"/>
      <c r="J57" s="2"/>
      <c r="K57" s="2"/>
      <c r="L57" s="2"/>
    </row>
    <row r="58" spans="1:12" x14ac:dyDescent="0.3">
      <c r="D58" s="77" t="s">
        <v>21</v>
      </c>
      <c r="E58" s="78"/>
      <c r="F58" s="79" t="s">
        <v>19</v>
      </c>
    </row>
    <row r="59" spans="1:12" x14ac:dyDescent="0.3">
      <c r="B59" s="122" t="s">
        <v>82</v>
      </c>
      <c r="C59" s="122"/>
      <c r="D59" s="65">
        <f>G12</f>
        <v>0</v>
      </c>
      <c r="E59" s="75"/>
      <c r="F59" s="80">
        <f>G11</f>
        <v>0</v>
      </c>
    </row>
    <row r="60" spans="1:12" x14ac:dyDescent="0.3">
      <c r="B60" s="124" t="s">
        <v>83</v>
      </c>
      <c r="C60" s="125"/>
      <c r="D60" s="65">
        <f>E56</f>
        <v>1265.0050000000001</v>
      </c>
      <c r="E60" s="75"/>
      <c r="F60" s="80">
        <f>E55</f>
        <v>1183.1950000000002</v>
      </c>
    </row>
    <row r="61" spans="1:12" x14ac:dyDescent="0.3">
      <c r="B61" s="66" t="s">
        <v>79</v>
      </c>
      <c r="C61" s="66"/>
      <c r="D61" s="67">
        <f>SUM(D59:D60)</f>
        <v>1265.0050000000001</v>
      </c>
      <c r="E61" s="78"/>
      <c r="F61" s="81">
        <f>SUM(F59:F60)</f>
        <v>1183.1950000000002</v>
      </c>
    </row>
    <row r="62" spans="1:12" x14ac:dyDescent="0.3">
      <c r="D62" s="82"/>
      <c r="E62" s="1"/>
      <c r="F62" s="71"/>
    </row>
    <row r="63" spans="1:12" x14ac:dyDescent="0.3">
      <c r="D63" s="68">
        <f>D61/A50</f>
        <v>14.882411764705884</v>
      </c>
      <c r="E63" s="1"/>
      <c r="F63" s="68">
        <f>F61/A50</f>
        <v>13.919941176470591</v>
      </c>
    </row>
    <row r="70" spans="4:4" x14ac:dyDescent="0.3">
      <c r="D70" s="43"/>
    </row>
    <row r="71" spans="4:4" x14ac:dyDescent="0.3">
      <c r="D71" s="43"/>
    </row>
    <row r="72" spans="4:4" x14ac:dyDescent="0.3">
      <c r="D72" s="43"/>
    </row>
    <row r="73" spans="4:4" x14ac:dyDescent="0.3">
      <c r="D73" s="43"/>
    </row>
    <row r="74" spans="4:4" x14ac:dyDescent="0.3">
      <c r="D74" s="43"/>
    </row>
  </sheetData>
  <mergeCells count="13">
    <mergeCell ref="L7:L8"/>
    <mergeCell ref="A1:F1"/>
    <mergeCell ref="A2:F2"/>
    <mergeCell ref="A3:F3"/>
    <mergeCell ref="A5:F5"/>
    <mergeCell ref="J7:K7"/>
    <mergeCell ref="B60:C60"/>
    <mergeCell ref="D11:E11"/>
    <mergeCell ref="D12:E12"/>
    <mergeCell ref="C49:F49"/>
    <mergeCell ref="C50:F50"/>
    <mergeCell ref="C51:F51"/>
    <mergeCell ref="B59:C59"/>
  </mergeCells>
  <pageMargins left="0.11811023622047245" right="0.11811023622047245" top="0.35433070866141736" bottom="0.15748031496062992" header="0.31496062992125984" footer="0.31496062992125984"/>
  <pageSetup paperSize="9" scale="95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23936-498A-46ED-B5F4-6935DD61D80D}">
  <dimension ref="A1:L73"/>
  <sheetViews>
    <sheetView workbookViewId="0">
      <selection activeCell="B49" sqref="B49"/>
    </sheetView>
  </sheetViews>
  <sheetFormatPr defaultRowHeight="14.4" x14ac:dyDescent="0.3"/>
  <cols>
    <col min="1" max="1" width="9.6640625" bestFit="1" customWidth="1"/>
    <col min="2" max="2" width="41.21875" bestFit="1" customWidth="1"/>
    <col min="3" max="3" width="15" bestFit="1" customWidth="1"/>
    <col min="4" max="4" width="10.33203125" bestFit="1" customWidth="1"/>
    <col min="5" max="5" width="7.5546875" bestFit="1" customWidth="1"/>
    <col min="6" max="6" width="8.5546875" bestFit="1" customWidth="1"/>
    <col min="7" max="7" width="9.109375" style="43" bestFit="1" customWidth="1"/>
    <col min="8" max="8" width="8" bestFit="1" customWidth="1"/>
    <col min="9" max="9" width="10.44140625" bestFit="1" customWidth="1"/>
    <col min="10" max="10" width="5.44140625" bestFit="1" customWidth="1"/>
    <col min="11" max="11" width="9.44140625" bestFit="1" customWidth="1"/>
    <col min="12" max="12" width="10.44140625" bestFit="1" customWidth="1"/>
    <col min="13" max="13" width="5" bestFit="1" customWidth="1"/>
    <col min="14" max="14" width="7" bestFit="1" customWidth="1"/>
  </cols>
  <sheetData>
    <row r="1" spans="1:12" x14ac:dyDescent="0.3">
      <c r="A1" s="114" t="s">
        <v>0</v>
      </c>
      <c r="B1" s="115"/>
      <c r="C1" s="115"/>
      <c r="D1" s="115"/>
      <c r="E1" s="115"/>
      <c r="F1" s="115"/>
      <c r="G1" s="1"/>
      <c r="H1" s="2"/>
      <c r="I1" s="2"/>
      <c r="J1" s="2"/>
      <c r="K1" s="2"/>
      <c r="L1" s="2"/>
    </row>
    <row r="2" spans="1:12" x14ac:dyDescent="0.3">
      <c r="A2" s="114" t="s">
        <v>1</v>
      </c>
      <c r="B2" s="115"/>
      <c r="C2" s="115"/>
      <c r="D2" s="115"/>
      <c r="E2" s="115"/>
      <c r="F2" s="115"/>
      <c r="G2" s="1"/>
      <c r="H2" s="2"/>
      <c r="I2" s="2"/>
      <c r="J2" s="2"/>
      <c r="K2" s="2"/>
      <c r="L2" s="2"/>
    </row>
    <row r="3" spans="1:12" ht="18" x14ac:dyDescent="0.35">
      <c r="A3" s="116" t="s">
        <v>200</v>
      </c>
      <c r="B3" s="116"/>
      <c r="C3" s="116"/>
      <c r="D3" s="116"/>
      <c r="E3" s="116"/>
      <c r="F3" s="116"/>
      <c r="G3" s="3"/>
      <c r="H3" s="4"/>
      <c r="I3" s="4"/>
      <c r="J3" s="4"/>
      <c r="K3" s="4"/>
      <c r="L3" s="4"/>
    </row>
    <row r="4" spans="1:12" x14ac:dyDescent="0.3">
      <c r="G4" s="1"/>
      <c r="H4" s="2"/>
      <c r="I4" s="2"/>
      <c r="J4" s="2"/>
      <c r="K4" s="2"/>
      <c r="L4" s="2"/>
    </row>
    <row r="5" spans="1:12" ht="21" x14ac:dyDescent="0.4">
      <c r="A5" s="128" t="s">
        <v>2</v>
      </c>
      <c r="B5" s="129"/>
      <c r="C5" s="129"/>
      <c r="D5" s="129"/>
      <c r="E5" s="129"/>
      <c r="F5" s="129"/>
      <c r="G5" s="1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1"/>
      <c r="H6" s="2"/>
      <c r="I6" s="2"/>
      <c r="J6" s="2"/>
      <c r="K6" s="2"/>
      <c r="L6" s="2"/>
    </row>
    <row r="7" spans="1:12" ht="24" x14ac:dyDescent="0.3">
      <c r="A7" s="5" t="s">
        <v>3</v>
      </c>
      <c r="B7" s="6" t="s">
        <v>4</v>
      </c>
      <c r="C7" s="7" t="s">
        <v>5</v>
      </c>
      <c r="D7" s="7" t="s">
        <v>6</v>
      </c>
      <c r="E7" s="7" t="s">
        <v>7</v>
      </c>
      <c r="F7" s="6" t="s">
        <v>8</v>
      </c>
      <c r="G7" s="7" t="s">
        <v>9</v>
      </c>
      <c r="H7" s="8" t="s">
        <v>10</v>
      </c>
      <c r="I7" s="7" t="s">
        <v>11</v>
      </c>
      <c r="J7" s="117" t="s">
        <v>12</v>
      </c>
      <c r="K7" s="118"/>
      <c r="L7" s="119" t="s">
        <v>13</v>
      </c>
    </row>
    <row r="8" spans="1:12" x14ac:dyDescent="0.3">
      <c r="A8" s="9" t="s">
        <v>14</v>
      </c>
      <c r="B8" s="9"/>
      <c r="C8" s="10"/>
      <c r="D8" s="10"/>
      <c r="E8" s="10"/>
      <c r="F8" s="9"/>
      <c r="G8" s="10"/>
      <c r="H8" s="10"/>
      <c r="I8" s="10"/>
      <c r="J8" s="10" t="s">
        <v>15</v>
      </c>
      <c r="K8" s="11" t="s">
        <v>11</v>
      </c>
      <c r="L8" s="119"/>
    </row>
    <row r="9" spans="1:12" x14ac:dyDescent="0.3">
      <c r="A9" s="12"/>
      <c r="B9" s="13" t="s">
        <v>140</v>
      </c>
      <c r="C9" s="20" t="s">
        <v>115</v>
      </c>
      <c r="D9" s="14" t="s">
        <v>17</v>
      </c>
      <c r="E9" s="15">
        <v>0</v>
      </c>
      <c r="F9" s="15">
        <f>E9*F10</f>
        <v>0</v>
      </c>
      <c r="G9" s="14">
        <v>9.5</v>
      </c>
      <c r="H9" s="16">
        <f>F9*G9</f>
        <v>0</v>
      </c>
      <c r="I9" s="17">
        <f>F9*G9</f>
        <v>0</v>
      </c>
      <c r="J9" s="18">
        <v>0.12</v>
      </c>
      <c r="K9" s="19">
        <f>I9*J9</f>
        <v>0</v>
      </c>
      <c r="L9" s="15">
        <f>I9+K9</f>
        <v>0</v>
      </c>
    </row>
    <row r="10" spans="1:12" ht="18" x14ac:dyDescent="0.3">
      <c r="A10" s="21"/>
      <c r="B10" s="13" t="s">
        <v>143</v>
      </c>
      <c r="C10" s="22"/>
      <c r="D10" s="22"/>
      <c r="E10" s="23"/>
      <c r="F10" s="24">
        <v>1</v>
      </c>
      <c r="G10" s="23"/>
      <c r="H10" s="25">
        <f>SUM(H9:H9)</f>
        <v>0</v>
      </c>
      <c r="I10" s="26">
        <f>SUM(I9:I9)</f>
        <v>0</v>
      </c>
      <c r="J10" s="27"/>
      <c r="K10" s="28">
        <f>SUM(K9:K9)</f>
        <v>0</v>
      </c>
      <c r="L10" s="29">
        <f>SUM(L9:L9)</f>
        <v>0</v>
      </c>
    </row>
    <row r="11" spans="1:12" x14ac:dyDescent="0.3">
      <c r="A11" s="12"/>
      <c r="B11" s="12"/>
      <c r="C11" s="14"/>
      <c r="D11" s="120" t="s">
        <v>19</v>
      </c>
      <c r="E11" s="121"/>
      <c r="F11" s="35" t="s">
        <v>20</v>
      </c>
      <c r="G11" s="36">
        <f>I10/F10</f>
        <v>0</v>
      </c>
      <c r="H11" s="37"/>
      <c r="I11" s="38"/>
      <c r="J11" s="39"/>
      <c r="K11" s="40"/>
      <c r="L11" s="41"/>
    </row>
    <row r="12" spans="1:12" x14ac:dyDescent="0.3">
      <c r="A12" s="12"/>
      <c r="B12" s="12"/>
      <c r="C12" s="14"/>
      <c r="D12" s="120" t="s">
        <v>21</v>
      </c>
      <c r="E12" s="121"/>
      <c r="F12" s="35" t="s">
        <v>20</v>
      </c>
      <c r="G12" s="36">
        <f>L10/F10</f>
        <v>0</v>
      </c>
      <c r="H12" s="37"/>
      <c r="I12" s="38"/>
      <c r="J12" s="39"/>
      <c r="K12" s="40"/>
      <c r="L12" s="41"/>
    </row>
    <row r="13" spans="1:12" x14ac:dyDescent="0.3">
      <c r="A13" s="12"/>
      <c r="B13" s="12"/>
      <c r="C13" s="14"/>
      <c r="D13" s="33"/>
      <c r="E13" s="34"/>
      <c r="F13" s="35"/>
      <c r="G13" s="36"/>
      <c r="H13" s="37"/>
      <c r="I13" s="38"/>
      <c r="J13" s="39"/>
      <c r="K13" s="40"/>
      <c r="L13" s="41"/>
    </row>
    <row r="14" spans="1:12" x14ac:dyDescent="0.3">
      <c r="A14" s="9" t="s">
        <v>22</v>
      </c>
      <c r="B14" s="42" t="s">
        <v>199</v>
      </c>
      <c r="C14" s="14" t="str">
        <f>C9</f>
        <v>DARK BROWN</v>
      </c>
      <c r="D14" s="14" t="s">
        <v>24</v>
      </c>
      <c r="E14" s="14">
        <v>1.25</v>
      </c>
      <c r="F14" s="41">
        <f>E14*F10</f>
        <v>1.25</v>
      </c>
      <c r="G14" s="14">
        <v>17</v>
      </c>
      <c r="H14" s="37">
        <f>E14*G14</f>
        <v>21.25</v>
      </c>
      <c r="I14" s="38">
        <f>F14*G14</f>
        <v>21.25</v>
      </c>
      <c r="J14" s="39">
        <v>0.12</v>
      </c>
      <c r="K14" s="40">
        <f>I14*J14</f>
        <v>2.5499999999999998</v>
      </c>
      <c r="L14" s="41">
        <f>I14+K14</f>
        <v>23.8</v>
      </c>
    </row>
    <row r="15" spans="1:12" x14ac:dyDescent="0.3">
      <c r="A15" s="9"/>
      <c r="B15" s="42" t="s">
        <v>196</v>
      </c>
      <c r="C15" s="14" t="str">
        <f>C9</f>
        <v>DARK BROWN</v>
      </c>
      <c r="D15" s="14" t="s">
        <v>24</v>
      </c>
      <c r="E15" s="14">
        <v>1.25</v>
      </c>
      <c r="F15" s="41">
        <f>F10*E15</f>
        <v>1.25</v>
      </c>
      <c r="G15" s="14">
        <v>45</v>
      </c>
      <c r="H15" s="37">
        <f>E15*G15</f>
        <v>56.25</v>
      </c>
      <c r="I15" s="38">
        <f>F15*G15</f>
        <v>56.25</v>
      </c>
      <c r="J15" s="39">
        <v>0.12</v>
      </c>
      <c r="K15" s="40">
        <f>I15*J15</f>
        <v>6.75</v>
      </c>
      <c r="L15" s="41">
        <f>I15+K15</f>
        <v>63</v>
      </c>
    </row>
    <row r="16" spans="1:12" x14ac:dyDescent="0.3">
      <c r="A16" s="9"/>
      <c r="B16" s="42" t="s">
        <v>155</v>
      </c>
      <c r="C16" s="14" t="str">
        <f>C9</f>
        <v>DARK BROWN</v>
      </c>
      <c r="D16" s="14" t="s">
        <v>24</v>
      </c>
      <c r="E16" s="14">
        <v>1.25</v>
      </c>
      <c r="F16" s="41">
        <f>E16*F10</f>
        <v>1.25</v>
      </c>
      <c r="G16" s="14">
        <f>38*2</f>
        <v>76</v>
      </c>
      <c r="H16" s="37">
        <f>E16*G16</f>
        <v>95</v>
      </c>
      <c r="I16" s="38">
        <f>F16*G16</f>
        <v>95</v>
      </c>
      <c r="J16" s="39">
        <v>0.12</v>
      </c>
      <c r="K16" s="40">
        <f>I16*J16</f>
        <v>11.4</v>
      </c>
      <c r="L16" s="41">
        <f>I16+K16</f>
        <v>106.4</v>
      </c>
    </row>
    <row r="17" spans="1:12" x14ac:dyDescent="0.3">
      <c r="A17" s="9"/>
      <c r="B17" s="42"/>
      <c r="C17" s="14"/>
      <c r="D17" s="14"/>
      <c r="E17" s="14"/>
      <c r="F17" s="41"/>
      <c r="G17" s="14"/>
      <c r="H17" s="37"/>
      <c r="I17" s="38"/>
      <c r="J17" s="39"/>
      <c r="K17" s="40"/>
      <c r="L17" s="41"/>
    </row>
    <row r="18" spans="1:12" x14ac:dyDescent="0.3">
      <c r="A18" s="9" t="s">
        <v>26</v>
      </c>
      <c r="B18" s="12" t="s">
        <v>27</v>
      </c>
      <c r="C18" s="14" t="str">
        <f>C9</f>
        <v>DARK BROWN</v>
      </c>
      <c r="D18" s="14" t="s">
        <v>28</v>
      </c>
      <c r="E18" s="14">
        <v>150</v>
      </c>
      <c r="F18" s="41">
        <f>E18*F10</f>
        <v>150</v>
      </c>
      <c r="G18" s="14">
        <v>125</v>
      </c>
      <c r="H18" s="37">
        <f>F18/1000*G18/F10</f>
        <v>18.75</v>
      </c>
      <c r="I18" s="38">
        <f>F18/1000*G18</f>
        <v>18.75</v>
      </c>
      <c r="J18" s="39">
        <v>0.12</v>
      </c>
      <c r="K18" s="40">
        <f>I18*J18</f>
        <v>2.25</v>
      </c>
      <c r="L18" s="41">
        <f>I18+K18</f>
        <v>21</v>
      </c>
    </row>
    <row r="19" spans="1:12" x14ac:dyDescent="0.3">
      <c r="A19" s="9"/>
      <c r="B19" s="12" t="s">
        <v>29</v>
      </c>
      <c r="C19" s="14" t="str">
        <f>C9</f>
        <v>DARK BROWN</v>
      </c>
      <c r="D19" s="14" t="s">
        <v>28</v>
      </c>
      <c r="E19" s="14">
        <v>150</v>
      </c>
      <c r="F19" s="41">
        <f>E19*F10</f>
        <v>150</v>
      </c>
      <c r="G19" s="14">
        <v>257</v>
      </c>
      <c r="H19" s="37">
        <f>F19/5000*G19/F10</f>
        <v>7.71</v>
      </c>
      <c r="I19" s="38">
        <f>H19*F10</f>
        <v>7.71</v>
      </c>
      <c r="J19" s="39">
        <v>0.12</v>
      </c>
      <c r="K19" s="40">
        <f>I19*J19</f>
        <v>0.92519999999999991</v>
      </c>
      <c r="L19" s="41">
        <f>I19+K19</f>
        <v>8.6351999999999993</v>
      </c>
    </row>
    <row r="20" spans="1:12" x14ac:dyDescent="0.3">
      <c r="A20" s="9"/>
      <c r="B20" s="12"/>
      <c r="C20" s="14"/>
      <c r="D20" s="14"/>
      <c r="E20" s="14"/>
      <c r="F20" s="41"/>
      <c r="G20" s="14"/>
      <c r="H20" s="37"/>
      <c r="I20" s="38"/>
      <c r="J20" s="39"/>
      <c r="K20" s="40"/>
      <c r="L20" s="41"/>
    </row>
    <row r="21" spans="1:12" x14ac:dyDescent="0.3">
      <c r="A21" s="9"/>
      <c r="B21" s="12" t="s">
        <v>197</v>
      </c>
      <c r="C21" s="14">
        <f>C5</f>
        <v>0</v>
      </c>
      <c r="D21" s="14" t="s">
        <v>43</v>
      </c>
      <c r="E21" s="14">
        <v>1</v>
      </c>
      <c r="F21" s="41">
        <f>E21*F10</f>
        <v>1</v>
      </c>
      <c r="G21" s="14">
        <v>165</v>
      </c>
      <c r="H21" s="37">
        <f t="shared" ref="H21" si="0">E21*G21</f>
        <v>165</v>
      </c>
      <c r="I21" s="38">
        <f t="shared" ref="I21" si="1">F21*G21</f>
        <v>165</v>
      </c>
      <c r="J21" s="39">
        <v>0.18</v>
      </c>
      <c r="K21" s="40">
        <f t="shared" ref="K21" si="2">I21*J21</f>
        <v>29.7</v>
      </c>
      <c r="L21" s="41">
        <f t="shared" ref="L21" si="3">I21+K21</f>
        <v>194.7</v>
      </c>
    </row>
    <row r="22" spans="1:12" x14ac:dyDescent="0.3">
      <c r="A22" s="9"/>
      <c r="B22" s="12"/>
      <c r="C22" s="14"/>
      <c r="D22" s="14"/>
      <c r="E22" s="14"/>
      <c r="F22" s="41"/>
      <c r="G22" s="14"/>
      <c r="H22" s="37"/>
      <c r="I22" s="38"/>
      <c r="J22" s="39"/>
      <c r="K22" s="40"/>
      <c r="L22" s="41"/>
    </row>
    <row r="23" spans="1:12" x14ac:dyDescent="0.3">
      <c r="A23" s="12"/>
      <c r="B23" s="12"/>
      <c r="C23" s="14"/>
      <c r="D23" s="14"/>
      <c r="E23" s="14"/>
      <c r="F23" s="12"/>
      <c r="G23" s="14"/>
      <c r="H23" s="37"/>
      <c r="I23" s="38"/>
      <c r="J23" s="39"/>
      <c r="K23" s="40"/>
      <c r="L23" s="41"/>
    </row>
    <row r="24" spans="1:12" x14ac:dyDescent="0.3">
      <c r="A24" s="12" t="s">
        <v>47</v>
      </c>
      <c r="B24" s="12" t="s">
        <v>154</v>
      </c>
      <c r="C24" s="14" t="s">
        <v>36</v>
      </c>
      <c r="D24" s="14" t="s">
        <v>43</v>
      </c>
      <c r="E24" s="14">
        <v>1</v>
      </c>
      <c r="F24" s="41">
        <f>E24*F10</f>
        <v>1</v>
      </c>
      <c r="G24" s="14">
        <v>7.5</v>
      </c>
      <c r="H24" s="37">
        <f>E24*G24</f>
        <v>7.5</v>
      </c>
      <c r="I24" s="38">
        <f>F24*G24</f>
        <v>7.5</v>
      </c>
      <c r="J24" s="39">
        <v>0.12</v>
      </c>
      <c r="K24" s="40">
        <f>I24*J24</f>
        <v>0.89999999999999991</v>
      </c>
      <c r="L24" s="41">
        <f>I24+K24</f>
        <v>8.4</v>
      </c>
    </row>
    <row r="25" spans="1:12" x14ac:dyDescent="0.3">
      <c r="A25" s="12"/>
      <c r="B25" s="12" t="s">
        <v>49</v>
      </c>
      <c r="C25" s="14" t="s">
        <v>36</v>
      </c>
      <c r="D25" s="14" t="s">
        <v>43</v>
      </c>
      <c r="E25" s="14">
        <v>1</v>
      </c>
      <c r="F25" s="41">
        <f>E25*F10</f>
        <v>1</v>
      </c>
      <c r="G25" s="14">
        <v>3.5</v>
      </c>
      <c r="H25" s="37">
        <f>E25*G25</f>
        <v>3.5</v>
      </c>
      <c r="I25" s="38">
        <f>F25*G25</f>
        <v>3.5</v>
      </c>
      <c r="J25" s="39">
        <v>0.12</v>
      </c>
      <c r="K25" s="40">
        <f>I25*J25</f>
        <v>0.42</v>
      </c>
      <c r="L25" s="41">
        <f>I25+K25</f>
        <v>3.92</v>
      </c>
    </row>
    <row r="26" spans="1:12" x14ac:dyDescent="0.3">
      <c r="A26" s="9"/>
      <c r="B26" s="12" t="s">
        <v>50</v>
      </c>
      <c r="C26" s="14" t="s">
        <v>36</v>
      </c>
      <c r="D26" s="14" t="s">
        <v>43</v>
      </c>
      <c r="E26" s="14">
        <v>1</v>
      </c>
      <c r="F26" s="41">
        <f>E26*F10</f>
        <v>1</v>
      </c>
      <c r="G26" s="14">
        <v>4</v>
      </c>
      <c r="H26" s="37">
        <v>4</v>
      </c>
      <c r="I26" s="38">
        <f>F26*G26</f>
        <v>4</v>
      </c>
      <c r="J26" s="39">
        <v>0.12</v>
      </c>
      <c r="K26" s="40">
        <f>I26*J26</f>
        <v>0.48</v>
      </c>
      <c r="L26" s="41">
        <f>I26+K26</f>
        <v>4.4800000000000004</v>
      </c>
    </row>
    <row r="27" spans="1:12" x14ac:dyDescent="0.3">
      <c r="A27" s="9"/>
      <c r="B27" s="12"/>
      <c r="C27" s="14"/>
      <c r="D27" s="14"/>
      <c r="E27" s="14"/>
      <c r="F27" s="41"/>
      <c r="G27" s="14"/>
      <c r="H27" s="12"/>
      <c r="I27" s="41"/>
      <c r="J27" s="39"/>
      <c r="K27" s="41"/>
      <c r="L27" s="41"/>
    </row>
    <row r="28" spans="1:12" ht="39.6" x14ac:dyDescent="0.3">
      <c r="A28" s="44" t="s">
        <v>51</v>
      </c>
      <c r="B28" s="21" t="s">
        <v>52</v>
      </c>
      <c r="C28" s="23" t="s">
        <v>36</v>
      </c>
      <c r="D28" s="23" t="s">
        <v>43</v>
      </c>
      <c r="E28" s="23">
        <v>1</v>
      </c>
      <c r="F28" s="45">
        <f>F10*E28</f>
        <v>1</v>
      </c>
      <c r="G28" s="23">
        <v>12</v>
      </c>
      <c r="H28" s="46">
        <f t="shared" ref="H28:H33" si="4">E28*G28</f>
        <v>12</v>
      </c>
      <c r="I28" s="47">
        <f t="shared" ref="I28:I32" si="5">F28*G28</f>
        <v>12</v>
      </c>
      <c r="J28" s="48">
        <v>0.18</v>
      </c>
      <c r="K28" s="49">
        <f t="shared" ref="K28:K33" si="6">I28*J28</f>
        <v>2.16</v>
      </c>
      <c r="L28" s="45">
        <f t="shared" ref="L28:L34" si="7">I28+K28</f>
        <v>14.16</v>
      </c>
    </row>
    <row r="29" spans="1:12" x14ac:dyDescent="0.3">
      <c r="A29" s="12"/>
      <c r="B29" s="12" t="s">
        <v>53</v>
      </c>
      <c r="C29" s="14" t="s">
        <v>36</v>
      </c>
      <c r="D29" s="14" t="s">
        <v>43</v>
      </c>
      <c r="E29" s="14">
        <v>1</v>
      </c>
      <c r="F29" s="41">
        <f>E29*F10</f>
        <v>1</v>
      </c>
      <c r="G29" s="14">
        <v>0</v>
      </c>
      <c r="H29" s="37">
        <f t="shared" si="4"/>
        <v>0</v>
      </c>
      <c r="I29" s="38">
        <f t="shared" si="5"/>
        <v>0</v>
      </c>
      <c r="J29" s="39">
        <v>0.18</v>
      </c>
      <c r="K29" s="40">
        <f t="shared" si="6"/>
        <v>0</v>
      </c>
      <c r="L29" s="41">
        <f t="shared" si="7"/>
        <v>0</v>
      </c>
    </row>
    <row r="30" spans="1:12" x14ac:dyDescent="0.3">
      <c r="A30" s="12"/>
      <c r="B30" s="12" t="s">
        <v>54</v>
      </c>
      <c r="C30" s="14" t="s">
        <v>36</v>
      </c>
      <c r="D30" s="14" t="s">
        <v>55</v>
      </c>
      <c r="E30" s="14">
        <v>1</v>
      </c>
      <c r="F30" s="41">
        <f>E30*F10</f>
        <v>1</v>
      </c>
      <c r="G30" s="14">
        <v>0</v>
      </c>
      <c r="H30" s="37">
        <f t="shared" si="4"/>
        <v>0</v>
      </c>
      <c r="I30" s="38">
        <f t="shared" si="5"/>
        <v>0</v>
      </c>
      <c r="J30" s="39">
        <v>0.18</v>
      </c>
      <c r="K30" s="40">
        <f t="shared" si="6"/>
        <v>0</v>
      </c>
      <c r="L30" s="41">
        <f t="shared" si="7"/>
        <v>0</v>
      </c>
    </row>
    <row r="31" spans="1:12" x14ac:dyDescent="0.3">
      <c r="A31" s="12"/>
      <c r="B31" s="12" t="s">
        <v>56</v>
      </c>
      <c r="C31" s="14" t="s">
        <v>36</v>
      </c>
      <c r="D31" s="14" t="s">
        <v>55</v>
      </c>
      <c r="E31" s="14">
        <v>0.2</v>
      </c>
      <c r="F31" s="41">
        <f>E31*F10</f>
        <v>0.2</v>
      </c>
      <c r="G31" s="14">
        <v>115</v>
      </c>
      <c r="H31" s="37">
        <v>15</v>
      </c>
      <c r="I31" s="38">
        <f>H31*F10</f>
        <v>15</v>
      </c>
      <c r="J31" s="39">
        <v>0.18</v>
      </c>
      <c r="K31" s="40">
        <f t="shared" si="6"/>
        <v>2.6999999999999997</v>
      </c>
      <c r="L31" s="41">
        <f t="shared" si="7"/>
        <v>17.7</v>
      </c>
    </row>
    <row r="32" spans="1:12" x14ac:dyDescent="0.3">
      <c r="A32" s="12"/>
      <c r="B32" s="12" t="s">
        <v>57</v>
      </c>
      <c r="C32" s="14" t="s">
        <v>36</v>
      </c>
      <c r="D32" s="14" t="s">
        <v>58</v>
      </c>
      <c r="E32" s="14">
        <v>2</v>
      </c>
      <c r="F32" s="41">
        <f>E32*F10</f>
        <v>2</v>
      </c>
      <c r="G32" s="14">
        <v>1.35</v>
      </c>
      <c r="H32" s="37">
        <f t="shared" si="4"/>
        <v>2.7</v>
      </c>
      <c r="I32" s="38">
        <f t="shared" si="5"/>
        <v>2.7</v>
      </c>
      <c r="J32" s="39">
        <v>0.18</v>
      </c>
      <c r="K32" s="40">
        <f t="shared" si="6"/>
        <v>0.48599999999999999</v>
      </c>
      <c r="L32" s="41">
        <f t="shared" si="7"/>
        <v>3.1859999999999999</v>
      </c>
    </row>
    <row r="33" spans="1:12" x14ac:dyDescent="0.3">
      <c r="A33" s="12"/>
      <c r="B33" s="12" t="s">
        <v>59</v>
      </c>
      <c r="C33" s="14" t="s">
        <v>36</v>
      </c>
      <c r="D33" s="14" t="s">
        <v>43</v>
      </c>
      <c r="E33" s="14">
        <v>7.0000000000000007E-2</v>
      </c>
      <c r="F33" s="41">
        <f>E33*F10</f>
        <v>7.0000000000000007E-2</v>
      </c>
      <c r="G33" s="14">
        <v>168</v>
      </c>
      <c r="H33" s="37">
        <f t="shared" si="4"/>
        <v>11.760000000000002</v>
      </c>
      <c r="I33" s="38">
        <f>F33*G33</f>
        <v>11.760000000000002</v>
      </c>
      <c r="J33" s="39">
        <v>0.18</v>
      </c>
      <c r="K33" s="40">
        <f t="shared" si="6"/>
        <v>2.1168</v>
      </c>
      <c r="L33" s="41">
        <f t="shared" si="7"/>
        <v>13.876800000000001</v>
      </c>
    </row>
    <row r="34" spans="1:12" x14ac:dyDescent="0.3">
      <c r="A34" s="12"/>
      <c r="B34" s="12" t="s">
        <v>60</v>
      </c>
      <c r="C34" s="14" t="s">
        <v>61</v>
      </c>
      <c r="D34" s="14" t="s">
        <v>62</v>
      </c>
      <c r="E34" s="14">
        <f>0.1</f>
        <v>0.1</v>
      </c>
      <c r="F34" s="41">
        <f>E34*F10</f>
        <v>0.1</v>
      </c>
      <c r="G34" s="14">
        <v>54</v>
      </c>
      <c r="H34" s="37">
        <f>E34*G34</f>
        <v>5.4</v>
      </c>
      <c r="I34" s="38">
        <f>F34*G34</f>
        <v>5.4</v>
      </c>
      <c r="J34" s="39">
        <v>0.18</v>
      </c>
      <c r="K34" s="40">
        <f>I34*J34</f>
        <v>0.97199999999999998</v>
      </c>
      <c r="L34" s="41">
        <f t="shared" si="7"/>
        <v>6.3719999999999999</v>
      </c>
    </row>
    <row r="35" spans="1:12" x14ac:dyDescent="0.3">
      <c r="A35" s="12"/>
      <c r="B35" s="12"/>
      <c r="C35" s="14"/>
      <c r="D35" s="14"/>
      <c r="E35" s="14"/>
      <c r="F35" s="41"/>
      <c r="G35" s="14"/>
      <c r="H35" s="50">
        <f>SUM(H14:H34)</f>
        <v>425.82</v>
      </c>
      <c r="I35" s="50">
        <f>SUM(I14:I34)</f>
        <v>425.82</v>
      </c>
      <c r="J35" s="51"/>
      <c r="K35" s="52">
        <f>SUM(K14:K34)</f>
        <v>63.81</v>
      </c>
      <c r="L35" s="53">
        <f>SUM(L14:L34)</f>
        <v>489.63</v>
      </c>
    </row>
    <row r="36" spans="1:12" x14ac:dyDescent="0.3">
      <c r="A36" s="12" t="s">
        <v>63</v>
      </c>
      <c r="B36" s="12" t="s">
        <v>64</v>
      </c>
      <c r="C36" s="15"/>
      <c r="D36" s="14" t="s">
        <v>43</v>
      </c>
      <c r="E36" s="14">
        <f>C36*1%</f>
        <v>0</v>
      </c>
      <c r="F36" s="41">
        <f>F10</f>
        <v>1</v>
      </c>
      <c r="G36" s="14">
        <f>E36</f>
        <v>0</v>
      </c>
      <c r="H36" s="38">
        <f>G36</f>
        <v>0</v>
      </c>
      <c r="I36" s="38">
        <f>H36*F36</f>
        <v>0</v>
      </c>
      <c r="J36" s="39">
        <v>0.18</v>
      </c>
      <c r="K36" s="40">
        <f t="shared" ref="K36:K44" si="8">I36*J36</f>
        <v>0</v>
      </c>
      <c r="L36" s="41">
        <f t="shared" ref="L36:L44" si="9">I36+K36</f>
        <v>0</v>
      </c>
    </row>
    <row r="37" spans="1:12" x14ac:dyDescent="0.3">
      <c r="A37" s="12"/>
      <c r="B37" s="12" t="s">
        <v>65</v>
      </c>
      <c r="C37" s="15"/>
      <c r="D37" s="14" t="s">
        <v>43</v>
      </c>
      <c r="E37" s="14">
        <f>C37*1%</f>
        <v>0</v>
      </c>
      <c r="F37" s="41">
        <f>F10</f>
        <v>1</v>
      </c>
      <c r="G37" s="14">
        <f>E37</f>
        <v>0</v>
      </c>
      <c r="H37" s="38">
        <f>G37</f>
        <v>0</v>
      </c>
      <c r="I37" s="38">
        <f>H37*F37</f>
        <v>0</v>
      </c>
      <c r="J37" s="39">
        <v>0.18</v>
      </c>
      <c r="K37" s="40">
        <f t="shared" si="8"/>
        <v>0</v>
      </c>
      <c r="L37" s="41">
        <f t="shared" si="9"/>
        <v>0</v>
      </c>
    </row>
    <row r="38" spans="1:12" x14ac:dyDescent="0.3">
      <c r="A38" s="12"/>
      <c r="B38" s="12" t="s">
        <v>66</v>
      </c>
      <c r="C38" s="15"/>
      <c r="D38" s="14" t="s">
        <v>43</v>
      </c>
      <c r="E38" s="14">
        <f>C38*5%</f>
        <v>0</v>
      </c>
      <c r="F38" s="41">
        <f>F10</f>
        <v>1</v>
      </c>
      <c r="G38" s="14">
        <f t="shared" ref="G38:G43" si="10">E38</f>
        <v>0</v>
      </c>
      <c r="H38" s="38">
        <f t="shared" ref="H38:H43" si="11">G38</f>
        <v>0</v>
      </c>
      <c r="I38" s="38">
        <f>H38*F38</f>
        <v>0</v>
      </c>
      <c r="J38" s="39"/>
      <c r="K38" s="40">
        <f t="shared" si="8"/>
        <v>0</v>
      </c>
      <c r="L38" s="41">
        <f t="shared" si="9"/>
        <v>0</v>
      </c>
    </row>
    <row r="39" spans="1:12" x14ac:dyDescent="0.3">
      <c r="A39" s="12"/>
      <c r="B39" s="12" t="s">
        <v>67</v>
      </c>
      <c r="C39" s="15"/>
      <c r="D39" s="14" t="s">
        <v>43</v>
      </c>
      <c r="E39" s="14">
        <f>C39*7%</f>
        <v>0</v>
      </c>
      <c r="F39" s="41">
        <f>F10</f>
        <v>1</v>
      </c>
      <c r="G39" s="14">
        <f t="shared" si="10"/>
        <v>0</v>
      </c>
      <c r="H39" s="38">
        <f t="shared" si="11"/>
        <v>0</v>
      </c>
      <c r="I39" s="38">
        <f>H39*F39</f>
        <v>0</v>
      </c>
      <c r="J39" s="12"/>
      <c r="K39" s="40">
        <f t="shared" si="8"/>
        <v>0</v>
      </c>
      <c r="L39" s="41">
        <f t="shared" si="9"/>
        <v>0</v>
      </c>
    </row>
    <row r="40" spans="1:12" x14ac:dyDescent="0.3">
      <c r="A40" s="9" t="s">
        <v>68</v>
      </c>
      <c r="B40" s="12" t="s">
        <v>69</v>
      </c>
      <c r="C40" s="15"/>
      <c r="D40" s="14" t="s">
        <v>43</v>
      </c>
      <c r="E40" s="14">
        <f>C40*2.5%</f>
        <v>0</v>
      </c>
      <c r="F40" s="41">
        <f>F10</f>
        <v>1</v>
      </c>
      <c r="G40" s="14">
        <f t="shared" si="10"/>
        <v>0</v>
      </c>
      <c r="H40" s="38">
        <f t="shared" si="11"/>
        <v>0</v>
      </c>
      <c r="I40" s="38">
        <f t="shared" ref="I40:I44" si="12">H40*F40</f>
        <v>0</v>
      </c>
      <c r="J40" s="12"/>
      <c r="K40" s="40">
        <f t="shared" si="8"/>
        <v>0</v>
      </c>
      <c r="L40" s="41">
        <f t="shared" si="9"/>
        <v>0</v>
      </c>
    </row>
    <row r="41" spans="1:12" x14ac:dyDescent="0.3">
      <c r="A41" s="12"/>
      <c r="B41" s="12" t="s">
        <v>70</v>
      </c>
      <c r="C41" s="15"/>
      <c r="D41" s="14" t="s">
        <v>43</v>
      </c>
      <c r="E41" s="14">
        <f>C41*2%</f>
        <v>0</v>
      </c>
      <c r="F41" s="41">
        <f>F10</f>
        <v>1</v>
      </c>
      <c r="G41" s="14">
        <f t="shared" si="10"/>
        <v>0</v>
      </c>
      <c r="H41" s="38">
        <f t="shared" si="11"/>
        <v>0</v>
      </c>
      <c r="I41" s="38">
        <f t="shared" si="12"/>
        <v>0</v>
      </c>
      <c r="J41" s="12"/>
      <c r="K41" s="40">
        <f t="shared" si="8"/>
        <v>0</v>
      </c>
      <c r="L41" s="41">
        <f t="shared" si="9"/>
        <v>0</v>
      </c>
    </row>
    <row r="42" spans="1:12" x14ac:dyDescent="0.3">
      <c r="A42" s="12"/>
      <c r="B42" s="12" t="s">
        <v>71</v>
      </c>
      <c r="C42" s="15"/>
      <c r="D42" s="14" t="s">
        <v>43</v>
      </c>
      <c r="E42" s="14">
        <v>600</v>
      </c>
      <c r="F42" s="41">
        <f>F10</f>
        <v>1</v>
      </c>
      <c r="G42" s="14">
        <f t="shared" si="10"/>
        <v>600</v>
      </c>
      <c r="H42" s="38">
        <f t="shared" si="11"/>
        <v>600</v>
      </c>
      <c r="I42" s="38">
        <f t="shared" si="12"/>
        <v>600</v>
      </c>
      <c r="J42" s="12"/>
      <c r="K42" s="40">
        <f t="shared" si="8"/>
        <v>0</v>
      </c>
      <c r="L42" s="41">
        <f t="shared" si="9"/>
        <v>600</v>
      </c>
    </row>
    <row r="43" spans="1:12" x14ac:dyDescent="0.3">
      <c r="A43" s="12"/>
      <c r="B43" s="12" t="s">
        <v>72</v>
      </c>
      <c r="C43" s="15">
        <f>B49</f>
        <v>1062.5</v>
      </c>
      <c r="D43" s="14" t="s">
        <v>43</v>
      </c>
      <c r="E43" s="14">
        <f>C43*5%</f>
        <v>53.125</v>
      </c>
      <c r="F43" s="41">
        <f>F10</f>
        <v>1</v>
      </c>
      <c r="G43" s="14">
        <f t="shared" si="10"/>
        <v>53.125</v>
      </c>
      <c r="H43" s="38">
        <f t="shared" si="11"/>
        <v>53.125</v>
      </c>
      <c r="I43" s="38">
        <f t="shared" si="12"/>
        <v>53.125</v>
      </c>
      <c r="J43" s="12"/>
      <c r="K43" s="40">
        <f t="shared" si="8"/>
        <v>0</v>
      </c>
      <c r="L43" s="41">
        <f t="shared" si="9"/>
        <v>53.125</v>
      </c>
    </row>
    <row r="44" spans="1:12" x14ac:dyDescent="0.3">
      <c r="A44" s="12" t="s">
        <v>73</v>
      </c>
      <c r="B44" s="54" t="s">
        <v>74</v>
      </c>
      <c r="C44" s="55"/>
      <c r="D44" s="55" t="s">
        <v>43</v>
      </c>
      <c r="E44" s="55">
        <v>0</v>
      </c>
      <c r="F44" s="41">
        <f>F10</f>
        <v>1</v>
      </c>
      <c r="G44" s="55">
        <v>0</v>
      </c>
      <c r="H44" s="56">
        <v>0</v>
      </c>
      <c r="I44" s="38">
        <f t="shared" si="12"/>
        <v>0</v>
      </c>
      <c r="J44" s="54"/>
      <c r="K44" s="57">
        <f t="shared" si="8"/>
        <v>0</v>
      </c>
      <c r="L44" s="58">
        <f t="shared" si="9"/>
        <v>0</v>
      </c>
    </row>
    <row r="45" spans="1:12" x14ac:dyDescent="0.3">
      <c r="A45" s="2"/>
      <c r="B45" s="2"/>
      <c r="C45" s="1"/>
      <c r="D45" s="1"/>
      <c r="E45" s="1"/>
      <c r="F45" s="59">
        <f>F10</f>
        <v>1</v>
      </c>
      <c r="G45" s="1"/>
      <c r="H45" s="59">
        <f>SUM(H35:H44)</f>
        <v>1078.9449999999999</v>
      </c>
      <c r="I45" s="59">
        <f>SUM(I35:I44)</f>
        <v>1078.9449999999999</v>
      </c>
      <c r="J45" s="60"/>
      <c r="K45" s="59">
        <f>SUM(K35:K44)</f>
        <v>63.81</v>
      </c>
      <c r="L45" s="59">
        <f>SUM(L35:L44)</f>
        <v>1142.7550000000001</v>
      </c>
    </row>
    <row r="46" spans="1:12" x14ac:dyDescent="0.3">
      <c r="A46" s="2"/>
      <c r="B46" s="2"/>
      <c r="C46" s="1"/>
      <c r="D46" s="1"/>
      <c r="E46" s="1"/>
      <c r="F46" s="2"/>
      <c r="G46" s="1"/>
      <c r="H46" s="61"/>
      <c r="I46" s="61"/>
    </row>
    <row r="47" spans="1:12" ht="46.2" customHeight="1" x14ac:dyDescent="0.3">
      <c r="A47" s="2"/>
      <c r="B47" s="2"/>
      <c r="C47" s="1"/>
      <c r="D47" s="1"/>
      <c r="E47" s="1"/>
      <c r="F47" s="2"/>
      <c r="G47" s="62" t="s">
        <v>75</v>
      </c>
      <c r="H47" s="2"/>
      <c r="I47" s="2"/>
      <c r="J47" s="2"/>
      <c r="K47" s="61"/>
      <c r="L47" s="2"/>
    </row>
    <row r="48" spans="1:12" ht="18" x14ac:dyDescent="0.35">
      <c r="A48" s="63" t="s">
        <v>76</v>
      </c>
      <c r="B48" s="64">
        <v>12.5</v>
      </c>
      <c r="C48" s="122" t="s">
        <v>77</v>
      </c>
      <c r="D48" s="122"/>
      <c r="E48" s="122"/>
      <c r="F48" s="122"/>
      <c r="G48" s="65">
        <f>G11</f>
        <v>0</v>
      </c>
      <c r="H48" s="1"/>
      <c r="I48" s="1"/>
      <c r="J48" s="2"/>
      <c r="K48" s="2"/>
      <c r="L48" s="2"/>
    </row>
    <row r="49" spans="1:12" ht="18" x14ac:dyDescent="0.35">
      <c r="A49" s="63">
        <v>85</v>
      </c>
      <c r="B49" s="63">
        <f>B48*A49</f>
        <v>1062.5</v>
      </c>
      <c r="C49" s="122" t="s">
        <v>78</v>
      </c>
      <c r="D49" s="122"/>
      <c r="E49" s="122"/>
      <c r="F49" s="122"/>
      <c r="G49" s="65">
        <f>I45/F10</f>
        <v>1078.9449999999999</v>
      </c>
      <c r="H49" s="1"/>
      <c r="I49" s="1"/>
      <c r="J49" s="2"/>
      <c r="K49" s="2"/>
      <c r="L49" s="2"/>
    </row>
    <row r="50" spans="1:12" x14ac:dyDescent="0.3">
      <c r="A50" s="2"/>
      <c r="B50" s="2"/>
      <c r="C50" s="130" t="s">
        <v>79</v>
      </c>
      <c r="D50" s="130"/>
      <c r="E50" s="130"/>
      <c r="F50" s="130"/>
      <c r="G50" s="67">
        <f>SUM(G48:G49)</f>
        <v>1078.9449999999999</v>
      </c>
      <c r="H50" s="1"/>
      <c r="I50" s="1"/>
      <c r="J50" s="2"/>
      <c r="K50" s="2"/>
      <c r="L50" s="2"/>
    </row>
    <row r="51" spans="1:12" ht="14.4" customHeight="1" x14ac:dyDescent="0.35">
      <c r="A51" s="63" t="s">
        <v>76</v>
      </c>
      <c r="B51" s="64">
        <f>H52</f>
        <v>11.357315789473683</v>
      </c>
      <c r="C51" s="2"/>
      <c r="G51" s="1"/>
      <c r="H51" s="1"/>
      <c r="I51" s="1"/>
      <c r="J51" s="2"/>
      <c r="K51" s="2"/>
      <c r="L51" s="2"/>
    </row>
    <row r="52" spans="1:12" ht="14.4" customHeight="1" x14ac:dyDescent="0.35">
      <c r="A52" s="63">
        <v>95</v>
      </c>
      <c r="B52" s="64">
        <f>B51*A52</f>
        <v>1078.9449999999999</v>
      </c>
      <c r="C52" s="2"/>
      <c r="G52" s="68">
        <f>G50/A49</f>
        <v>12.693470588235293</v>
      </c>
      <c r="H52" s="69">
        <f>G50/A52</f>
        <v>11.357315789473683</v>
      </c>
      <c r="I52" s="1"/>
      <c r="J52" s="2"/>
      <c r="K52" s="2"/>
      <c r="L52" s="2"/>
    </row>
    <row r="53" spans="1:12" ht="14.4" customHeight="1" x14ac:dyDescent="0.3">
      <c r="A53" s="2"/>
      <c r="B53" s="109"/>
      <c r="D53" s="70" t="s">
        <v>80</v>
      </c>
      <c r="E53" s="1"/>
      <c r="F53" s="71"/>
      <c r="G53" s="71"/>
      <c r="H53" s="1"/>
      <c r="I53" s="1"/>
      <c r="J53" s="2"/>
      <c r="K53" s="2"/>
      <c r="L53" s="2"/>
    </row>
    <row r="54" spans="1:12" ht="14.4" customHeight="1" x14ac:dyDescent="0.3">
      <c r="A54" s="2"/>
      <c r="B54" s="109"/>
      <c r="D54" s="72" t="s">
        <v>81</v>
      </c>
      <c r="E54" s="73">
        <f>I45/F45</f>
        <v>1078.9449999999999</v>
      </c>
      <c r="F54" s="74" t="s">
        <v>20</v>
      </c>
      <c r="G54" s="71"/>
      <c r="H54" s="1"/>
      <c r="I54" s="1"/>
      <c r="J54" s="2"/>
      <c r="K54" s="2"/>
      <c r="L54" s="2"/>
    </row>
    <row r="55" spans="1:12" x14ac:dyDescent="0.3">
      <c r="A55" s="2"/>
      <c r="B55" s="75"/>
      <c r="C55" s="2"/>
      <c r="D55" s="72" t="s">
        <v>21</v>
      </c>
      <c r="E55" s="73">
        <f>L45/F45</f>
        <v>1142.7550000000001</v>
      </c>
      <c r="F55" s="74" t="s">
        <v>20</v>
      </c>
      <c r="G55" s="71"/>
      <c r="H55" s="1"/>
      <c r="I55" s="1"/>
      <c r="J55" s="2"/>
      <c r="K55" s="2"/>
      <c r="L55" s="2"/>
    </row>
    <row r="56" spans="1:12" x14ac:dyDescent="0.3">
      <c r="A56" s="2"/>
      <c r="B56" s="2"/>
      <c r="C56" s="1"/>
      <c r="D56" s="76"/>
      <c r="E56" s="71"/>
      <c r="F56" s="71"/>
      <c r="G56" s="1"/>
      <c r="H56" s="2"/>
      <c r="I56" s="2"/>
      <c r="J56" s="2"/>
      <c r="K56" s="2"/>
      <c r="L56" s="2"/>
    </row>
    <row r="57" spans="1:12" x14ac:dyDescent="0.3">
      <c r="D57" s="77" t="s">
        <v>21</v>
      </c>
      <c r="E57" s="78"/>
      <c r="F57" s="79" t="s">
        <v>19</v>
      </c>
    </row>
    <row r="58" spans="1:12" x14ac:dyDescent="0.3">
      <c r="B58" s="122" t="s">
        <v>82</v>
      </c>
      <c r="C58" s="122"/>
      <c r="D58" s="65">
        <f>G12</f>
        <v>0</v>
      </c>
      <c r="E58" s="75"/>
      <c r="F58" s="80">
        <f>G11</f>
        <v>0</v>
      </c>
    </row>
    <row r="59" spans="1:12" x14ac:dyDescent="0.3">
      <c r="B59" s="124" t="s">
        <v>83</v>
      </c>
      <c r="C59" s="125"/>
      <c r="D59" s="65">
        <f>E55</f>
        <v>1142.7550000000001</v>
      </c>
      <c r="E59" s="75"/>
      <c r="F59" s="80">
        <f>E54</f>
        <v>1078.9449999999999</v>
      </c>
    </row>
    <row r="60" spans="1:12" x14ac:dyDescent="0.3">
      <c r="B60" s="66" t="s">
        <v>79</v>
      </c>
      <c r="C60" s="66"/>
      <c r="D60" s="67">
        <f>SUM(D58:D59)</f>
        <v>1142.7550000000001</v>
      </c>
      <c r="E60" s="78"/>
      <c r="F60" s="81">
        <f>SUM(F58:F59)</f>
        <v>1078.9449999999999</v>
      </c>
    </row>
    <row r="61" spans="1:12" x14ac:dyDescent="0.3">
      <c r="D61" s="82"/>
      <c r="E61" s="1"/>
      <c r="F61" s="71"/>
    </row>
    <row r="62" spans="1:12" x14ac:dyDescent="0.3">
      <c r="D62" s="68">
        <f>D60/A49</f>
        <v>13.444176470588237</v>
      </c>
      <c r="E62" s="1"/>
      <c r="F62" s="68">
        <f>F60/A49</f>
        <v>12.693470588235293</v>
      </c>
    </row>
    <row r="69" spans="4:4" x14ac:dyDescent="0.3">
      <c r="D69" s="43"/>
    </row>
    <row r="70" spans="4:4" x14ac:dyDescent="0.3">
      <c r="D70" s="43"/>
    </row>
    <row r="71" spans="4:4" x14ac:dyDescent="0.3">
      <c r="D71" s="43"/>
    </row>
    <row r="72" spans="4:4" x14ac:dyDescent="0.3">
      <c r="D72" s="43"/>
    </row>
    <row r="73" spans="4:4" x14ac:dyDescent="0.3">
      <c r="D73" s="43"/>
    </row>
  </sheetData>
  <mergeCells count="13">
    <mergeCell ref="L7:L8"/>
    <mergeCell ref="A1:F1"/>
    <mergeCell ref="A2:F2"/>
    <mergeCell ref="A3:F3"/>
    <mergeCell ref="A5:F5"/>
    <mergeCell ref="J7:K7"/>
    <mergeCell ref="B59:C59"/>
    <mergeCell ref="D11:E11"/>
    <mergeCell ref="D12:E12"/>
    <mergeCell ref="C48:F48"/>
    <mergeCell ref="C49:F49"/>
    <mergeCell ref="C50:F50"/>
    <mergeCell ref="B58:C58"/>
  </mergeCells>
  <pageMargins left="0.31496062992125984" right="0.11811023622047245" top="0.35433070866141736" bottom="0.35433070866141736" header="0.31496062992125984" footer="0.31496062992125984"/>
  <pageSetup paperSize="9" scale="95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3032-2E5C-4A42-B4CA-4B20C17CE8B7}">
  <dimension ref="A1:L78"/>
  <sheetViews>
    <sheetView topLeftCell="A44" workbookViewId="0">
      <selection activeCell="B12" sqref="B12"/>
    </sheetView>
  </sheetViews>
  <sheetFormatPr defaultRowHeight="14.4" x14ac:dyDescent="0.3"/>
  <cols>
    <col min="1" max="1" width="9.6640625" bestFit="1" customWidth="1"/>
    <col min="2" max="2" width="41.21875" bestFit="1" customWidth="1"/>
    <col min="3" max="3" width="15" bestFit="1" customWidth="1"/>
    <col min="4" max="4" width="10.33203125" bestFit="1" customWidth="1"/>
    <col min="5" max="5" width="7.5546875" bestFit="1" customWidth="1"/>
    <col min="6" max="6" width="8.5546875" bestFit="1" customWidth="1"/>
    <col min="7" max="7" width="9.109375" style="43" bestFit="1" customWidth="1"/>
    <col min="8" max="8" width="8" bestFit="1" customWidth="1"/>
    <col min="9" max="9" width="10.44140625" bestFit="1" customWidth="1"/>
    <col min="10" max="10" width="5.44140625" bestFit="1" customWidth="1"/>
    <col min="11" max="11" width="9.44140625" bestFit="1" customWidth="1"/>
    <col min="12" max="12" width="10.44140625" bestFit="1" customWidth="1"/>
    <col min="13" max="13" width="5" bestFit="1" customWidth="1"/>
    <col min="14" max="14" width="7" bestFit="1" customWidth="1"/>
  </cols>
  <sheetData>
    <row r="1" spans="1:12" x14ac:dyDescent="0.3">
      <c r="A1" s="114" t="s">
        <v>0</v>
      </c>
      <c r="B1" s="115"/>
      <c r="C1" s="115"/>
      <c r="D1" s="115"/>
      <c r="E1" s="115"/>
      <c r="F1" s="115"/>
      <c r="G1" s="1"/>
      <c r="H1" s="2"/>
      <c r="I1" s="2"/>
      <c r="J1" s="2"/>
      <c r="K1" s="2"/>
      <c r="L1" s="2"/>
    </row>
    <row r="2" spans="1:12" x14ac:dyDescent="0.3">
      <c r="A2" s="114" t="s">
        <v>1</v>
      </c>
      <c r="B2" s="115"/>
      <c r="C2" s="115"/>
      <c r="D2" s="115"/>
      <c r="E2" s="115"/>
      <c r="F2" s="115"/>
      <c r="G2" s="1"/>
      <c r="H2" s="2"/>
      <c r="I2" s="2"/>
      <c r="J2" s="2"/>
      <c r="K2" s="2"/>
      <c r="L2" s="2"/>
    </row>
    <row r="3" spans="1:12" ht="18" x14ac:dyDescent="0.35">
      <c r="A3" s="116" t="s">
        <v>201</v>
      </c>
      <c r="B3" s="116"/>
      <c r="C3" s="116"/>
      <c r="D3" s="116"/>
      <c r="E3" s="116"/>
      <c r="F3" s="116"/>
      <c r="G3" s="3"/>
      <c r="H3" s="4"/>
      <c r="I3" s="4"/>
      <c r="J3" s="4"/>
      <c r="K3" s="4"/>
      <c r="L3" s="4"/>
    </row>
    <row r="4" spans="1:12" x14ac:dyDescent="0.3">
      <c r="G4" s="1"/>
      <c r="H4" s="2"/>
      <c r="I4" s="2"/>
      <c r="J4" s="2"/>
      <c r="K4" s="2"/>
      <c r="L4" s="2"/>
    </row>
    <row r="5" spans="1:12" ht="21" x14ac:dyDescent="0.4">
      <c r="A5" s="128" t="s">
        <v>2</v>
      </c>
      <c r="B5" s="129"/>
      <c r="C5" s="129"/>
      <c r="D5" s="129"/>
      <c r="E5" s="129"/>
      <c r="F5" s="129"/>
      <c r="G5" s="1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1"/>
      <c r="H6" s="2"/>
      <c r="I6" s="2"/>
      <c r="J6" s="2"/>
      <c r="K6" s="2"/>
      <c r="L6" s="2"/>
    </row>
    <row r="7" spans="1:12" ht="24" x14ac:dyDescent="0.3">
      <c r="A7" s="5" t="s">
        <v>3</v>
      </c>
      <c r="B7" s="6" t="s">
        <v>4</v>
      </c>
      <c r="C7" s="7" t="s">
        <v>5</v>
      </c>
      <c r="D7" s="7" t="s">
        <v>6</v>
      </c>
      <c r="E7" s="7" t="s">
        <v>7</v>
      </c>
      <c r="F7" s="6" t="s">
        <v>8</v>
      </c>
      <c r="G7" s="7" t="s">
        <v>9</v>
      </c>
      <c r="H7" s="8" t="s">
        <v>10</v>
      </c>
      <c r="I7" s="7" t="s">
        <v>11</v>
      </c>
      <c r="J7" s="117" t="s">
        <v>12</v>
      </c>
      <c r="K7" s="118"/>
      <c r="L7" s="119" t="s">
        <v>13</v>
      </c>
    </row>
    <row r="8" spans="1:12" x14ac:dyDescent="0.3">
      <c r="A8" s="9" t="s">
        <v>14</v>
      </c>
      <c r="B8" s="9"/>
      <c r="C8" s="10"/>
      <c r="D8" s="10"/>
      <c r="E8" s="10"/>
      <c r="F8" s="9"/>
      <c r="G8" s="10"/>
      <c r="H8" s="10"/>
      <c r="I8" s="10"/>
      <c r="J8" s="10" t="s">
        <v>15</v>
      </c>
      <c r="K8" s="11" t="s">
        <v>11</v>
      </c>
      <c r="L8" s="119"/>
    </row>
    <row r="9" spans="1:12" x14ac:dyDescent="0.3">
      <c r="A9" s="12"/>
      <c r="B9" s="13" t="s">
        <v>140</v>
      </c>
      <c r="C9" s="20" t="s">
        <v>202</v>
      </c>
      <c r="D9" s="14" t="s">
        <v>17</v>
      </c>
      <c r="E9" s="15">
        <v>345</v>
      </c>
      <c r="F9" s="15">
        <f>E9*F11</f>
        <v>345</v>
      </c>
      <c r="G9" s="14">
        <v>9.5</v>
      </c>
      <c r="H9" s="16">
        <f>F9*G9</f>
        <v>3277.5</v>
      </c>
      <c r="I9" s="17">
        <f>F9*G9</f>
        <v>3277.5</v>
      </c>
      <c r="J9" s="18">
        <v>0.12</v>
      </c>
      <c r="K9" s="19">
        <f>I9*J9</f>
        <v>393.3</v>
      </c>
      <c r="L9" s="15">
        <f>I9+K9</f>
        <v>3670.8</v>
      </c>
    </row>
    <row r="10" spans="1:12" x14ac:dyDescent="0.3">
      <c r="A10" s="12"/>
      <c r="B10" s="13"/>
      <c r="C10" s="20"/>
      <c r="D10" s="14"/>
      <c r="E10" s="15"/>
      <c r="F10" s="15"/>
      <c r="G10" s="14"/>
      <c r="H10" s="16"/>
      <c r="I10" s="17"/>
      <c r="J10" s="18"/>
      <c r="K10" s="19"/>
      <c r="L10" s="15"/>
    </row>
    <row r="11" spans="1:12" ht="18" x14ac:dyDescent="0.3">
      <c r="A11" s="21"/>
      <c r="B11" s="110" t="s">
        <v>241</v>
      </c>
      <c r="C11" s="22"/>
      <c r="D11" s="22"/>
      <c r="E11" s="23"/>
      <c r="F11" s="24">
        <v>1</v>
      </c>
      <c r="G11" s="23"/>
      <c r="H11" s="25">
        <f>SUM(H9:H9)</f>
        <v>3277.5</v>
      </c>
      <c r="I11" s="26">
        <f>SUM(I9:I9)</f>
        <v>3277.5</v>
      </c>
      <c r="J11" s="27"/>
      <c r="K11" s="28">
        <f>SUM(K9:K9)</f>
        <v>393.3</v>
      </c>
      <c r="L11" s="29">
        <f>SUM(L9:L9)</f>
        <v>3670.8</v>
      </c>
    </row>
    <row r="12" spans="1:12" x14ac:dyDescent="0.3">
      <c r="A12" s="21"/>
      <c r="B12" s="21"/>
      <c r="C12" s="23"/>
      <c r="D12" s="30"/>
      <c r="E12" s="31"/>
      <c r="F12" s="32"/>
      <c r="G12" s="23"/>
      <c r="H12" s="25"/>
      <c r="I12" s="26"/>
      <c r="J12" s="27"/>
      <c r="K12" s="28"/>
      <c r="L12" s="29"/>
    </row>
    <row r="13" spans="1:12" x14ac:dyDescent="0.3">
      <c r="A13" s="12"/>
      <c r="B13" s="12"/>
      <c r="C13" s="14"/>
      <c r="D13" s="120" t="s">
        <v>19</v>
      </c>
      <c r="E13" s="121"/>
      <c r="F13" s="35" t="s">
        <v>20</v>
      </c>
      <c r="G13" s="36">
        <f>I11/F11</f>
        <v>3277.5</v>
      </c>
      <c r="H13" s="37"/>
      <c r="I13" s="38"/>
      <c r="J13" s="39"/>
      <c r="K13" s="40"/>
      <c r="L13" s="41"/>
    </row>
    <row r="14" spans="1:12" x14ac:dyDescent="0.3">
      <c r="A14" s="12"/>
      <c r="B14" s="12"/>
      <c r="C14" s="14"/>
      <c r="D14" s="120" t="s">
        <v>21</v>
      </c>
      <c r="E14" s="121"/>
      <c r="F14" s="35" t="s">
        <v>20</v>
      </c>
      <c r="G14" s="36">
        <f>L11/F11</f>
        <v>3670.8</v>
      </c>
      <c r="H14" s="37"/>
      <c r="I14" s="38"/>
      <c r="J14" s="39"/>
      <c r="K14" s="40"/>
      <c r="L14" s="41"/>
    </row>
    <row r="15" spans="1:12" x14ac:dyDescent="0.3">
      <c r="A15" s="12"/>
      <c r="B15" s="12"/>
      <c r="C15" s="14"/>
      <c r="D15" s="33"/>
      <c r="E15" s="34"/>
      <c r="F15" s="35"/>
      <c r="G15" s="36"/>
      <c r="H15" s="37"/>
      <c r="I15" s="38"/>
      <c r="J15" s="39"/>
      <c r="K15" s="40"/>
      <c r="L15" s="41"/>
    </row>
    <row r="16" spans="1:12" x14ac:dyDescent="0.3">
      <c r="A16" s="9" t="s">
        <v>22</v>
      </c>
      <c r="B16" s="42" t="s">
        <v>176</v>
      </c>
      <c r="C16" s="14" t="str">
        <f>C9</f>
        <v>WHISKY</v>
      </c>
      <c r="D16" s="14" t="s">
        <v>24</v>
      </c>
      <c r="E16" s="14">
        <v>1</v>
      </c>
      <c r="F16" s="41">
        <f>E16*F11</f>
        <v>1</v>
      </c>
      <c r="G16" s="14">
        <v>66</v>
      </c>
      <c r="H16" s="37">
        <f>E16*G16</f>
        <v>66</v>
      </c>
      <c r="I16" s="38">
        <f>F16*G16</f>
        <v>66</v>
      </c>
      <c r="J16" s="39">
        <v>0.12</v>
      </c>
      <c r="K16" s="40">
        <f>I16*J16</f>
        <v>7.92</v>
      </c>
      <c r="L16" s="41">
        <f>I16+K16</f>
        <v>73.92</v>
      </c>
    </row>
    <row r="17" spans="1:12" x14ac:dyDescent="0.3">
      <c r="A17" s="9"/>
      <c r="B17" s="42" t="s">
        <v>203</v>
      </c>
      <c r="C17" s="14" t="str">
        <f>C9</f>
        <v>WHISKY</v>
      </c>
      <c r="D17" s="14" t="s">
        <v>24</v>
      </c>
      <c r="E17" s="14">
        <v>0.25</v>
      </c>
      <c r="F17" s="41">
        <f>E17*F11</f>
        <v>0.25</v>
      </c>
      <c r="G17" s="14">
        <v>55</v>
      </c>
      <c r="H17" s="37">
        <f>E17*G17</f>
        <v>13.75</v>
      </c>
      <c r="I17" s="38">
        <f>F17*G17</f>
        <v>13.75</v>
      </c>
      <c r="J17" s="39">
        <v>0.12</v>
      </c>
      <c r="K17" s="40">
        <f>I17*J17</f>
        <v>1.65</v>
      </c>
      <c r="L17" s="41">
        <f>I17+K17</f>
        <v>15.4</v>
      </c>
    </row>
    <row r="18" spans="1:12" x14ac:dyDescent="0.3">
      <c r="A18" s="9"/>
      <c r="B18" s="42" t="s">
        <v>204</v>
      </c>
      <c r="C18" s="14" t="str">
        <f>C9</f>
        <v>WHISKY</v>
      </c>
      <c r="D18" s="14" t="s">
        <v>24</v>
      </c>
      <c r="E18" s="14">
        <v>1</v>
      </c>
      <c r="F18" s="41">
        <f>F11*E18</f>
        <v>1</v>
      </c>
      <c r="G18" s="14">
        <v>30</v>
      </c>
      <c r="H18" s="37">
        <f>E18*G18</f>
        <v>30</v>
      </c>
      <c r="I18" s="38">
        <f>F18*G18</f>
        <v>30</v>
      </c>
      <c r="J18" s="39">
        <v>0.12</v>
      </c>
      <c r="K18" s="40">
        <f>I18*J18</f>
        <v>3.5999999999999996</v>
      </c>
      <c r="L18" s="41">
        <f>I18+K18</f>
        <v>33.6</v>
      </c>
    </row>
    <row r="19" spans="1:12" x14ac:dyDescent="0.3">
      <c r="A19" s="9"/>
      <c r="B19" s="42" t="s">
        <v>205</v>
      </c>
      <c r="C19" s="14" t="str">
        <f>C9</f>
        <v>WHISKY</v>
      </c>
      <c r="D19" s="14" t="s">
        <v>24</v>
      </c>
      <c r="E19" s="14">
        <v>1</v>
      </c>
      <c r="F19" s="41">
        <f>F11*E19</f>
        <v>1</v>
      </c>
      <c r="G19" s="14">
        <v>12</v>
      </c>
      <c r="H19" s="37">
        <f>E19*G19</f>
        <v>12</v>
      </c>
      <c r="I19" s="38">
        <f>F19*G19</f>
        <v>12</v>
      </c>
      <c r="J19" s="39">
        <v>0.12</v>
      </c>
      <c r="K19" s="40">
        <f>I19*J19</f>
        <v>1.44</v>
      </c>
      <c r="L19" s="41">
        <f>I19+K19</f>
        <v>13.44</v>
      </c>
    </row>
    <row r="20" spans="1:12" x14ac:dyDescent="0.3">
      <c r="A20" s="9"/>
      <c r="B20" s="42"/>
      <c r="C20" s="14"/>
      <c r="D20" s="14"/>
      <c r="E20" s="14"/>
      <c r="F20" s="41"/>
      <c r="G20" s="14"/>
      <c r="H20" s="37"/>
      <c r="I20" s="38"/>
      <c r="J20" s="39"/>
      <c r="K20" s="40"/>
      <c r="L20" s="41"/>
    </row>
    <row r="21" spans="1:12" x14ac:dyDescent="0.3">
      <c r="A21" s="9" t="s">
        <v>26</v>
      </c>
      <c r="B21" s="12" t="s">
        <v>27</v>
      </c>
      <c r="C21" s="14" t="str">
        <f>C9</f>
        <v>WHISKY</v>
      </c>
      <c r="D21" s="14" t="s">
        <v>28</v>
      </c>
      <c r="E21" s="14">
        <v>100</v>
      </c>
      <c r="F21" s="41">
        <f>E21*F11</f>
        <v>100</v>
      </c>
      <c r="G21" s="14">
        <v>125</v>
      </c>
      <c r="H21" s="37">
        <f>F21/1000*G21/F11</f>
        <v>12.5</v>
      </c>
      <c r="I21" s="38">
        <f>F21/1000*G21</f>
        <v>12.5</v>
      </c>
      <c r="J21" s="39">
        <v>0.12</v>
      </c>
      <c r="K21" s="40">
        <f>I21*J21</f>
        <v>1.5</v>
      </c>
      <c r="L21" s="41">
        <f>I21+K21</f>
        <v>14</v>
      </c>
    </row>
    <row r="22" spans="1:12" x14ac:dyDescent="0.3">
      <c r="A22" s="9"/>
      <c r="B22" s="12" t="s">
        <v>29</v>
      </c>
      <c r="C22" s="14" t="str">
        <f>C9</f>
        <v>WHISKY</v>
      </c>
      <c r="D22" s="14" t="s">
        <v>28</v>
      </c>
      <c r="E22" s="14">
        <v>100</v>
      </c>
      <c r="F22" s="41">
        <f>E22*F11</f>
        <v>100</v>
      </c>
      <c r="G22" s="14">
        <v>257</v>
      </c>
      <c r="H22" s="37">
        <f>F22/5000*G22/F11</f>
        <v>5.14</v>
      </c>
      <c r="I22" s="38">
        <f>H22*F11</f>
        <v>5.14</v>
      </c>
      <c r="J22" s="39">
        <v>0.12</v>
      </c>
      <c r="K22" s="40">
        <f>I22*J22</f>
        <v>0.6167999999999999</v>
      </c>
      <c r="L22" s="41">
        <f>I22+K22</f>
        <v>5.7567999999999993</v>
      </c>
    </row>
    <row r="23" spans="1:12" x14ac:dyDescent="0.3">
      <c r="A23" s="9"/>
      <c r="B23" s="12" t="s">
        <v>30</v>
      </c>
      <c r="C23" s="14" t="str">
        <f>C9</f>
        <v>WHISKY</v>
      </c>
      <c r="D23" s="14" t="s">
        <v>28</v>
      </c>
      <c r="E23" s="14">
        <v>50</v>
      </c>
      <c r="F23" s="41">
        <f>E23*F11</f>
        <v>50</v>
      </c>
      <c r="G23" s="14">
        <v>162</v>
      </c>
      <c r="H23" s="37">
        <f>F23/1000*G23/F11</f>
        <v>8.1</v>
      </c>
      <c r="I23" s="38">
        <f>F23/1000*G23</f>
        <v>8.1</v>
      </c>
      <c r="J23" s="39">
        <v>0.12</v>
      </c>
      <c r="K23" s="40">
        <f>I23*J23</f>
        <v>0.97199999999999998</v>
      </c>
      <c r="L23" s="41">
        <f>I23+K23</f>
        <v>9.0719999999999992</v>
      </c>
    </row>
    <row r="24" spans="1:12" x14ac:dyDescent="0.3">
      <c r="A24" s="9"/>
      <c r="B24" s="12"/>
      <c r="C24" s="14"/>
      <c r="D24" s="14"/>
      <c r="E24" s="14"/>
      <c r="F24" s="41"/>
      <c r="G24" s="14"/>
      <c r="H24" s="37"/>
      <c r="I24" s="38"/>
      <c r="J24" s="39"/>
      <c r="K24" s="40"/>
      <c r="L24" s="41"/>
    </row>
    <row r="25" spans="1:12" x14ac:dyDescent="0.3">
      <c r="A25" s="9" t="s">
        <v>31</v>
      </c>
      <c r="B25" s="12" t="s">
        <v>32</v>
      </c>
      <c r="C25" s="14" t="s">
        <v>33</v>
      </c>
      <c r="D25" s="14" t="s">
        <v>34</v>
      </c>
      <c r="E25" s="14">
        <v>0</v>
      </c>
      <c r="F25" s="41">
        <f>E25*F11</f>
        <v>0</v>
      </c>
      <c r="G25" s="14">
        <v>18</v>
      </c>
      <c r="H25" s="37">
        <f>E25*G25</f>
        <v>0</v>
      </c>
      <c r="I25" s="38">
        <f>F25*G25</f>
        <v>0</v>
      </c>
      <c r="J25" s="39">
        <v>0.18</v>
      </c>
      <c r="K25" s="40">
        <f>I25*J25</f>
        <v>0</v>
      </c>
      <c r="L25" s="41">
        <f>I25+K25</f>
        <v>0</v>
      </c>
    </row>
    <row r="26" spans="1:12" x14ac:dyDescent="0.3">
      <c r="A26" s="9"/>
      <c r="B26" s="12" t="s">
        <v>35</v>
      </c>
      <c r="C26" s="14" t="s">
        <v>36</v>
      </c>
      <c r="D26" s="14" t="s">
        <v>37</v>
      </c>
      <c r="E26" s="14">
        <v>0.15</v>
      </c>
      <c r="F26" s="41">
        <f>E26*F11</f>
        <v>0.15</v>
      </c>
      <c r="G26" s="14">
        <v>88</v>
      </c>
      <c r="H26" s="37">
        <f>E26*G26</f>
        <v>13.2</v>
      </c>
      <c r="I26" s="38">
        <f>F26*G26</f>
        <v>13.2</v>
      </c>
      <c r="J26" s="39">
        <v>0.18</v>
      </c>
      <c r="K26" s="40">
        <f>I26*J26</f>
        <v>2.3759999999999999</v>
      </c>
      <c r="L26" s="41">
        <f>I26+K26</f>
        <v>15.575999999999999</v>
      </c>
    </row>
    <row r="27" spans="1:12" x14ac:dyDescent="0.3">
      <c r="A27" s="9"/>
      <c r="B27" s="12" t="s">
        <v>38</v>
      </c>
      <c r="C27" s="14" t="s">
        <v>39</v>
      </c>
      <c r="D27" s="14" t="s">
        <v>34</v>
      </c>
      <c r="E27" s="14">
        <v>3.75</v>
      </c>
      <c r="F27" s="41">
        <f>E27*F11</f>
        <v>3.75</v>
      </c>
      <c r="G27" s="14">
        <v>0.6875</v>
      </c>
      <c r="H27" s="37">
        <f>E27*G27</f>
        <v>2.578125</v>
      </c>
      <c r="I27" s="38">
        <f>F27*G27</f>
        <v>2.578125</v>
      </c>
      <c r="J27" s="39">
        <v>0.18</v>
      </c>
      <c r="K27" s="40">
        <f>I27*J27</f>
        <v>0.46406249999999999</v>
      </c>
      <c r="L27" s="41">
        <f>I27+K27</f>
        <v>3.0421874999999998</v>
      </c>
    </row>
    <row r="28" spans="1:12" x14ac:dyDescent="0.3">
      <c r="A28" s="9"/>
      <c r="B28" s="12"/>
      <c r="C28" s="14"/>
      <c r="D28" s="14"/>
      <c r="E28" s="14"/>
      <c r="F28" s="41"/>
      <c r="G28" s="14"/>
      <c r="H28" s="37"/>
      <c r="I28" s="38"/>
      <c r="J28" s="39"/>
      <c r="K28" s="40"/>
      <c r="L28" s="41"/>
    </row>
    <row r="29" spans="1:12" x14ac:dyDescent="0.3">
      <c r="A29" s="12" t="s">
        <v>47</v>
      </c>
      <c r="B29" s="12" t="s">
        <v>48</v>
      </c>
      <c r="C29" s="14" t="s">
        <v>36</v>
      </c>
      <c r="D29" s="14" t="s">
        <v>43</v>
      </c>
      <c r="E29" s="14">
        <v>1</v>
      </c>
      <c r="F29" s="41">
        <f>E29*F11</f>
        <v>1</v>
      </c>
      <c r="G29" s="14">
        <v>12</v>
      </c>
      <c r="H29" s="37">
        <f>E29*G29</f>
        <v>12</v>
      </c>
      <c r="I29" s="38">
        <f>F29*G29</f>
        <v>12</v>
      </c>
      <c r="J29" s="39">
        <v>0.12</v>
      </c>
      <c r="K29" s="40">
        <f>I29*J29</f>
        <v>1.44</v>
      </c>
      <c r="L29" s="41">
        <f>I29+K29</f>
        <v>13.44</v>
      </c>
    </row>
    <row r="30" spans="1:12" x14ac:dyDescent="0.3">
      <c r="A30" s="12"/>
      <c r="B30" s="12" t="s">
        <v>49</v>
      </c>
      <c r="C30" s="14" t="s">
        <v>36</v>
      </c>
      <c r="D30" s="14" t="s">
        <v>43</v>
      </c>
      <c r="E30" s="14">
        <v>1</v>
      </c>
      <c r="F30" s="41">
        <f>E30*F11</f>
        <v>1</v>
      </c>
      <c r="G30" s="14">
        <v>3.5</v>
      </c>
      <c r="H30" s="37">
        <f>E30*G30</f>
        <v>3.5</v>
      </c>
      <c r="I30" s="38">
        <f>F30*G30</f>
        <v>3.5</v>
      </c>
      <c r="J30" s="39">
        <v>0.12</v>
      </c>
      <c r="K30" s="40">
        <f>I30*J30</f>
        <v>0.42</v>
      </c>
      <c r="L30" s="41">
        <f>I30+K30</f>
        <v>3.92</v>
      </c>
    </row>
    <row r="31" spans="1:12" x14ac:dyDescent="0.3">
      <c r="A31" s="9"/>
      <c r="B31" s="12" t="s">
        <v>50</v>
      </c>
      <c r="C31" s="14" t="s">
        <v>36</v>
      </c>
      <c r="D31" s="14" t="s">
        <v>43</v>
      </c>
      <c r="E31" s="14">
        <v>1</v>
      </c>
      <c r="F31" s="41">
        <f>E31*F11</f>
        <v>1</v>
      </c>
      <c r="G31" s="14">
        <v>4</v>
      </c>
      <c r="H31" s="37">
        <v>4</v>
      </c>
      <c r="I31" s="38">
        <f>F31*G31</f>
        <v>4</v>
      </c>
      <c r="J31" s="39">
        <v>0.12</v>
      </c>
      <c r="K31" s="40">
        <f>I31*J31</f>
        <v>0.48</v>
      </c>
      <c r="L31" s="41">
        <f>I31+K31</f>
        <v>4.4800000000000004</v>
      </c>
    </row>
    <row r="32" spans="1:12" x14ac:dyDescent="0.3">
      <c r="A32" s="9"/>
      <c r="B32" s="12"/>
      <c r="C32" s="14"/>
      <c r="D32" s="14"/>
      <c r="E32" s="14"/>
      <c r="F32" s="41"/>
      <c r="G32" s="14"/>
      <c r="H32" s="12"/>
      <c r="I32" s="41"/>
      <c r="J32" s="39"/>
      <c r="K32" s="41"/>
      <c r="L32" s="41"/>
    </row>
    <row r="33" spans="1:12" ht="39.6" x14ac:dyDescent="0.3">
      <c r="A33" s="44" t="s">
        <v>51</v>
      </c>
      <c r="B33" s="21" t="s">
        <v>52</v>
      </c>
      <c r="C33" s="23" t="s">
        <v>36</v>
      </c>
      <c r="D33" s="23" t="s">
        <v>43</v>
      </c>
      <c r="E33" s="23">
        <v>1</v>
      </c>
      <c r="F33" s="45">
        <f>F11*E33</f>
        <v>1</v>
      </c>
      <c r="G33" s="23">
        <v>12</v>
      </c>
      <c r="H33" s="46">
        <f t="shared" ref="H33:H38" si="0">E33*G33</f>
        <v>12</v>
      </c>
      <c r="I33" s="47">
        <f t="shared" ref="I33:I37" si="1">F33*G33</f>
        <v>12</v>
      </c>
      <c r="J33" s="48">
        <v>0.18</v>
      </c>
      <c r="K33" s="49">
        <f t="shared" ref="K33:K38" si="2">I33*J33</f>
        <v>2.16</v>
      </c>
      <c r="L33" s="45">
        <f t="shared" ref="L33:L39" si="3">I33+K33</f>
        <v>14.16</v>
      </c>
    </row>
    <row r="34" spans="1:12" x14ac:dyDescent="0.3">
      <c r="A34" s="12"/>
      <c r="B34" s="12" t="s">
        <v>53</v>
      </c>
      <c r="C34" s="14" t="s">
        <v>36</v>
      </c>
      <c r="D34" s="14" t="s">
        <v>43</v>
      </c>
      <c r="E34" s="14">
        <v>1</v>
      </c>
      <c r="F34" s="41">
        <f>E34*F11</f>
        <v>1</v>
      </c>
      <c r="G34" s="14">
        <v>0</v>
      </c>
      <c r="H34" s="37">
        <f t="shared" si="0"/>
        <v>0</v>
      </c>
      <c r="I34" s="38">
        <f t="shared" si="1"/>
        <v>0</v>
      </c>
      <c r="J34" s="39">
        <v>0.18</v>
      </c>
      <c r="K34" s="40">
        <f t="shared" si="2"/>
        <v>0</v>
      </c>
      <c r="L34" s="41">
        <f t="shared" si="3"/>
        <v>0</v>
      </c>
    </row>
    <row r="35" spans="1:12" x14ac:dyDescent="0.3">
      <c r="A35" s="12"/>
      <c r="B35" s="12" t="s">
        <v>54</v>
      </c>
      <c r="C35" s="14" t="s">
        <v>36</v>
      </c>
      <c r="D35" s="14" t="s">
        <v>55</v>
      </c>
      <c r="E35" s="14">
        <v>1</v>
      </c>
      <c r="F35" s="41">
        <f>E35*F11</f>
        <v>1</v>
      </c>
      <c r="G35" s="14">
        <v>0</v>
      </c>
      <c r="H35" s="37">
        <f t="shared" si="0"/>
        <v>0</v>
      </c>
      <c r="I35" s="38">
        <f t="shared" si="1"/>
        <v>0</v>
      </c>
      <c r="J35" s="39">
        <v>0.18</v>
      </c>
      <c r="K35" s="40">
        <f t="shared" si="2"/>
        <v>0</v>
      </c>
      <c r="L35" s="41">
        <f t="shared" si="3"/>
        <v>0</v>
      </c>
    </row>
    <row r="36" spans="1:12" x14ac:dyDescent="0.3">
      <c r="A36" s="12"/>
      <c r="B36" s="12" t="s">
        <v>56</v>
      </c>
      <c r="C36" s="14" t="s">
        <v>36</v>
      </c>
      <c r="D36" s="14" t="s">
        <v>55</v>
      </c>
      <c r="E36" s="14">
        <v>0.2</v>
      </c>
      <c r="F36" s="41">
        <f>E36*F11</f>
        <v>0.2</v>
      </c>
      <c r="G36" s="14">
        <v>115</v>
      </c>
      <c r="H36" s="37">
        <v>15</v>
      </c>
      <c r="I36" s="38">
        <f>H36*F11</f>
        <v>15</v>
      </c>
      <c r="J36" s="39">
        <v>0.18</v>
      </c>
      <c r="K36" s="40">
        <f t="shared" si="2"/>
        <v>2.6999999999999997</v>
      </c>
      <c r="L36" s="41">
        <f t="shared" si="3"/>
        <v>17.7</v>
      </c>
    </row>
    <row r="37" spans="1:12" x14ac:dyDescent="0.3">
      <c r="A37" s="12"/>
      <c r="B37" s="12" t="s">
        <v>57</v>
      </c>
      <c r="C37" s="14" t="s">
        <v>36</v>
      </c>
      <c r="D37" s="14" t="s">
        <v>58</v>
      </c>
      <c r="E37" s="14">
        <v>2</v>
      </c>
      <c r="F37" s="41">
        <f>E37*F11</f>
        <v>2</v>
      </c>
      <c r="G37" s="14">
        <v>1.35</v>
      </c>
      <c r="H37" s="37">
        <f t="shared" si="0"/>
        <v>2.7</v>
      </c>
      <c r="I37" s="38">
        <f t="shared" si="1"/>
        <v>2.7</v>
      </c>
      <c r="J37" s="39">
        <v>0.18</v>
      </c>
      <c r="K37" s="40">
        <f t="shared" si="2"/>
        <v>0.48599999999999999</v>
      </c>
      <c r="L37" s="41">
        <f t="shared" si="3"/>
        <v>3.1859999999999999</v>
      </c>
    </row>
    <row r="38" spans="1:12" x14ac:dyDescent="0.3">
      <c r="A38" s="12"/>
      <c r="B38" s="12" t="s">
        <v>59</v>
      </c>
      <c r="C38" s="14" t="s">
        <v>36</v>
      </c>
      <c r="D38" s="14" t="s">
        <v>43</v>
      </c>
      <c r="E38" s="14">
        <v>7.0000000000000007E-2</v>
      </c>
      <c r="F38" s="41">
        <f>E38*F11</f>
        <v>7.0000000000000007E-2</v>
      </c>
      <c r="G38" s="14">
        <v>168</v>
      </c>
      <c r="H38" s="37">
        <f t="shared" si="0"/>
        <v>11.760000000000002</v>
      </c>
      <c r="I38" s="38">
        <f>F38*G38</f>
        <v>11.760000000000002</v>
      </c>
      <c r="J38" s="39">
        <v>0.18</v>
      </c>
      <c r="K38" s="40">
        <f t="shared" si="2"/>
        <v>2.1168</v>
      </c>
      <c r="L38" s="41">
        <f t="shared" si="3"/>
        <v>13.876800000000001</v>
      </c>
    </row>
    <row r="39" spans="1:12" x14ac:dyDescent="0.3">
      <c r="A39" s="12"/>
      <c r="B39" s="12" t="s">
        <v>60</v>
      </c>
      <c r="C39" s="14" t="s">
        <v>61</v>
      </c>
      <c r="D39" s="14" t="s">
        <v>62</v>
      </c>
      <c r="E39" s="14">
        <f>0.1</f>
        <v>0.1</v>
      </c>
      <c r="F39" s="41">
        <f>E39*F11</f>
        <v>0.1</v>
      </c>
      <c r="G39" s="14">
        <v>54</v>
      </c>
      <c r="H39" s="37">
        <f>E39*G39</f>
        <v>5.4</v>
      </c>
      <c r="I39" s="38">
        <f>F39*G39</f>
        <v>5.4</v>
      </c>
      <c r="J39" s="39">
        <v>0.18</v>
      </c>
      <c r="K39" s="40">
        <f>I39*J39</f>
        <v>0.97199999999999998</v>
      </c>
      <c r="L39" s="41">
        <f t="shared" si="3"/>
        <v>6.3719999999999999</v>
      </c>
    </row>
    <row r="40" spans="1:12" x14ac:dyDescent="0.3">
      <c r="A40" s="12"/>
      <c r="B40" s="12"/>
      <c r="C40" s="14"/>
      <c r="D40" s="14"/>
      <c r="E40" s="14"/>
      <c r="F40" s="41"/>
      <c r="G40" s="14"/>
      <c r="H40" s="50">
        <f>SUM(H16:H39)</f>
        <v>229.62812499999995</v>
      </c>
      <c r="I40" s="50">
        <f>SUM(I16:I39)</f>
        <v>229.62812499999995</v>
      </c>
      <c r="J40" s="51"/>
      <c r="K40" s="52">
        <f>SUM(K16:K39)</f>
        <v>31.31366250000001</v>
      </c>
      <c r="L40" s="53">
        <f>SUM(L16:L39)</f>
        <v>260.94178749999998</v>
      </c>
    </row>
    <row r="41" spans="1:12" x14ac:dyDescent="0.3">
      <c r="A41" s="12" t="s">
        <v>63</v>
      </c>
      <c r="B41" s="12" t="s">
        <v>64</v>
      </c>
      <c r="C41" s="15"/>
      <c r="D41" s="14" t="s">
        <v>43</v>
      </c>
      <c r="E41" s="14">
        <f>C41*1%</f>
        <v>0</v>
      </c>
      <c r="F41" s="41">
        <f>F11</f>
        <v>1</v>
      </c>
      <c r="G41" s="14">
        <f>E41</f>
        <v>0</v>
      </c>
      <c r="H41" s="38">
        <f>G41</f>
        <v>0</v>
      </c>
      <c r="I41" s="38">
        <f>H41*F41</f>
        <v>0</v>
      </c>
      <c r="J41" s="39">
        <v>0.18</v>
      </c>
      <c r="K41" s="40">
        <f t="shared" ref="K41:K49" si="4">I41*J41</f>
        <v>0</v>
      </c>
      <c r="L41" s="41">
        <f t="shared" ref="L41:L49" si="5">I41+K41</f>
        <v>0</v>
      </c>
    </row>
    <row r="42" spans="1:12" x14ac:dyDescent="0.3">
      <c r="A42" s="12"/>
      <c r="B42" s="12" t="s">
        <v>65</v>
      </c>
      <c r="C42" s="15"/>
      <c r="D42" s="14" t="s">
        <v>43</v>
      </c>
      <c r="E42" s="14">
        <f>C42*1%</f>
        <v>0</v>
      </c>
      <c r="F42" s="41">
        <f>F11</f>
        <v>1</v>
      </c>
      <c r="G42" s="14">
        <f>E42</f>
        <v>0</v>
      </c>
      <c r="H42" s="38">
        <f>G42</f>
        <v>0</v>
      </c>
      <c r="I42" s="38">
        <f>H42*F42</f>
        <v>0</v>
      </c>
      <c r="J42" s="39">
        <v>0.18</v>
      </c>
      <c r="K42" s="40">
        <f t="shared" si="4"/>
        <v>0</v>
      </c>
      <c r="L42" s="41">
        <f t="shared" si="5"/>
        <v>0</v>
      </c>
    </row>
    <row r="43" spans="1:12" x14ac:dyDescent="0.3">
      <c r="A43" s="12"/>
      <c r="B43" s="12" t="s">
        <v>66</v>
      </c>
      <c r="C43" s="15"/>
      <c r="D43" s="14" t="s">
        <v>43</v>
      </c>
      <c r="E43" s="14">
        <f>C43*5%</f>
        <v>0</v>
      </c>
      <c r="F43" s="41">
        <f>F11</f>
        <v>1</v>
      </c>
      <c r="G43" s="14">
        <f t="shared" ref="G43:G48" si="6">E43</f>
        <v>0</v>
      </c>
      <c r="H43" s="38">
        <f t="shared" ref="H43:H48" si="7">G43</f>
        <v>0</v>
      </c>
      <c r="I43" s="38">
        <f>H43*F43</f>
        <v>0</v>
      </c>
      <c r="J43" s="39"/>
      <c r="K43" s="40">
        <f t="shared" si="4"/>
        <v>0</v>
      </c>
      <c r="L43" s="41">
        <f t="shared" si="5"/>
        <v>0</v>
      </c>
    </row>
    <row r="44" spans="1:12" x14ac:dyDescent="0.3">
      <c r="A44" s="12"/>
      <c r="B44" s="12" t="s">
        <v>67</v>
      </c>
      <c r="C44" s="15"/>
      <c r="D44" s="14" t="s">
        <v>43</v>
      </c>
      <c r="E44" s="14">
        <f>C44*7%</f>
        <v>0</v>
      </c>
      <c r="F44" s="41">
        <f>F11</f>
        <v>1</v>
      </c>
      <c r="G44" s="14">
        <f t="shared" si="6"/>
        <v>0</v>
      </c>
      <c r="H44" s="38">
        <f t="shared" si="7"/>
        <v>0</v>
      </c>
      <c r="I44" s="38">
        <f>H44*F44</f>
        <v>0</v>
      </c>
      <c r="J44" s="12"/>
      <c r="K44" s="40">
        <f t="shared" si="4"/>
        <v>0</v>
      </c>
      <c r="L44" s="41">
        <f t="shared" si="5"/>
        <v>0</v>
      </c>
    </row>
    <row r="45" spans="1:12" x14ac:dyDescent="0.3">
      <c r="A45" s="9" t="s">
        <v>68</v>
      </c>
      <c r="B45" s="12" t="s">
        <v>69</v>
      </c>
      <c r="C45" s="15"/>
      <c r="D45" s="14" t="s">
        <v>43</v>
      </c>
      <c r="E45" s="14">
        <f>C45*2.5%</f>
        <v>0</v>
      </c>
      <c r="F45" s="41">
        <f>F11</f>
        <v>1</v>
      </c>
      <c r="G45" s="14">
        <f t="shared" si="6"/>
        <v>0</v>
      </c>
      <c r="H45" s="38">
        <f t="shared" si="7"/>
        <v>0</v>
      </c>
      <c r="I45" s="38">
        <f t="shared" ref="I45:I49" si="8">H45*F45</f>
        <v>0</v>
      </c>
      <c r="J45" s="12"/>
      <c r="K45" s="40">
        <f t="shared" si="4"/>
        <v>0</v>
      </c>
      <c r="L45" s="41">
        <f t="shared" si="5"/>
        <v>0</v>
      </c>
    </row>
    <row r="46" spans="1:12" x14ac:dyDescent="0.3">
      <c r="A46" s="12"/>
      <c r="B46" s="12" t="s">
        <v>70</v>
      </c>
      <c r="C46" s="15"/>
      <c r="D46" s="14" t="s">
        <v>43</v>
      </c>
      <c r="E46" s="14">
        <f>C46*2%</f>
        <v>0</v>
      </c>
      <c r="F46" s="41">
        <f>F11</f>
        <v>1</v>
      </c>
      <c r="G46" s="14">
        <f t="shared" si="6"/>
        <v>0</v>
      </c>
      <c r="H46" s="38">
        <f t="shared" si="7"/>
        <v>0</v>
      </c>
      <c r="I46" s="38">
        <f t="shared" si="8"/>
        <v>0</v>
      </c>
      <c r="J46" s="12"/>
      <c r="K46" s="40">
        <f t="shared" si="4"/>
        <v>0</v>
      </c>
      <c r="L46" s="41">
        <f t="shared" si="5"/>
        <v>0</v>
      </c>
    </row>
    <row r="47" spans="1:12" x14ac:dyDescent="0.3">
      <c r="A47" s="12"/>
      <c r="B47" s="12" t="s">
        <v>71</v>
      </c>
      <c r="C47" s="15"/>
      <c r="D47" s="14" t="s">
        <v>43</v>
      </c>
      <c r="E47" s="14">
        <v>1000</v>
      </c>
      <c r="F47" s="41">
        <f>F11</f>
        <v>1</v>
      </c>
      <c r="G47" s="14">
        <f t="shared" si="6"/>
        <v>1000</v>
      </c>
      <c r="H47" s="38">
        <f t="shared" si="7"/>
        <v>1000</v>
      </c>
      <c r="I47" s="38">
        <f t="shared" si="8"/>
        <v>1000</v>
      </c>
      <c r="J47" s="12"/>
      <c r="K47" s="40">
        <f t="shared" si="4"/>
        <v>0</v>
      </c>
      <c r="L47" s="41">
        <f t="shared" si="5"/>
        <v>1000</v>
      </c>
    </row>
    <row r="48" spans="1:12" x14ac:dyDescent="0.3">
      <c r="A48" s="12"/>
      <c r="B48" s="12" t="s">
        <v>240</v>
      </c>
      <c r="C48" s="15">
        <f>B54</f>
        <v>5015</v>
      </c>
      <c r="D48" s="14" t="s">
        <v>43</v>
      </c>
      <c r="E48" s="14">
        <f>C48*3%</f>
        <v>150.44999999999999</v>
      </c>
      <c r="F48" s="41">
        <f>F11</f>
        <v>1</v>
      </c>
      <c r="G48" s="14">
        <f t="shared" si="6"/>
        <v>150.44999999999999</v>
      </c>
      <c r="H48" s="38">
        <f t="shared" si="7"/>
        <v>150.44999999999999</v>
      </c>
      <c r="I48" s="38">
        <f t="shared" si="8"/>
        <v>150.44999999999999</v>
      </c>
      <c r="J48" s="12"/>
      <c r="K48" s="40">
        <f t="shared" si="4"/>
        <v>0</v>
      </c>
      <c r="L48" s="41">
        <f t="shared" si="5"/>
        <v>150.44999999999999</v>
      </c>
    </row>
    <row r="49" spans="1:12" x14ac:dyDescent="0.3">
      <c r="A49" s="12" t="s">
        <v>73</v>
      </c>
      <c r="B49" s="54" t="s">
        <v>74</v>
      </c>
      <c r="C49" s="55"/>
      <c r="D49" s="55" t="s">
        <v>43</v>
      </c>
      <c r="E49" s="55">
        <v>250</v>
      </c>
      <c r="F49" s="41">
        <f>F11</f>
        <v>1</v>
      </c>
      <c r="G49" s="55">
        <v>250</v>
      </c>
      <c r="H49" s="56">
        <v>250</v>
      </c>
      <c r="I49" s="38">
        <f t="shared" si="8"/>
        <v>250</v>
      </c>
      <c r="J49" s="54"/>
      <c r="K49" s="57">
        <f t="shared" si="4"/>
        <v>0</v>
      </c>
      <c r="L49" s="58">
        <f t="shared" si="5"/>
        <v>250</v>
      </c>
    </row>
    <row r="50" spans="1:12" x14ac:dyDescent="0.3">
      <c r="A50" s="2"/>
      <c r="B50" s="2"/>
      <c r="C50" s="1"/>
      <c r="D50" s="1"/>
      <c r="E50" s="1"/>
      <c r="F50" s="59">
        <f>F11</f>
        <v>1</v>
      </c>
      <c r="G50" s="1"/>
      <c r="H50" s="59">
        <f>SUM(H40:H49)</f>
        <v>1630.078125</v>
      </c>
      <c r="I50" s="59">
        <f>SUM(I40:I49)</f>
        <v>1630.078125</v>
      </c>
      <c r="J50" s="60"/>
      <c r="K50" s="59">
        <f>SUM(K40:K49)</f>
        <v>31.31366250000001</v>
      </c>
      <c r="L50" s="59">
        <f>SUM(L40:L49)</f>
        <v>1661.3917875</v>
      </c>
    </row>
    <row r="51" spans="1:12" x14ac:dyDescent="0.3">
      <c r="A51" s="2"/>
      <c r="B51" s="2"/>
      <c r="C51" s="1"/>
      <c r="D51" s="1"/>
      <c r="E51" s="1"/>
      <c r="F51" s="2"/>
      <c r="G51" s="1"/>
      <c r="H51" s="61"/>
      <c r="I51" s="61"/>
    </row>
    <row r="52" spans="1:12" ht="46.2" customHeight="1" x14ac:dyDescent="0.3">
      <c r="A52" s="2"/>
      <c r="B52" s="2"/>
      <c r="C52" s="1"/>
      <c r="D52" s="1"/>
      <c r="E52" s="1"/>
      <c r="F52" s="2"/>
      <c r="G52" s="62" t="s">
        <v>75</v>
      </c>
      <c r="H52" s="2"/>
      <c r="I52" s="2"/>
      <c r="J52" s="2"/>
      <c r="K52" s="61"/>
      <c r="L52" s="2"/>
    </row>
    <row r="53" spans="1:12" ht="18" x14ac:dyDescent="0.35">
      <c r="A53" s="63" t="s">
        <v>76</v>
      </c>
      <c r="B53" s="64">
        <v>59</v>
      </c>
      <c r="C53" s="122" t="s">
        <v>77</v>
      </c>
      <c r="D53" s="122"/>
      <c r="E53" s="122"/>
      <c r="F53" s="122"/>
      <c r="G53" s="65">
        <f>G13</f>
        <v>3277.5</v>
      </c>
      <c r="H53" s="1"/>
      <c r="I53" s="1"/>
      <c r="J53" s="2"/>
      <c r="K53" s="2"/>
      <c r="L53" s="2"/>
    </row>
    <row r="54" spans="1:12" ht="18" x14ac:dyDescent="0.35">
      <c r="A54" s="63">
        <v>85</v>
      </c>
      <c r="B54" s="63">
        <f>B53*A54</f>
        <v>5015</v>
      </c>
      <c r="C54" s="122" t="s">
        <v>78</v>
      </c>
      <c r="D54" s="122"/>
      <c r="E54" s="122"/>
      <c r="F54" s="122"/>
      <c r="G54" s="65">
        <f>I50/F11</f>
        <v>1630.078125</v>
      </c>
      <c r="H54" s="1"/>
      <c r="I54" s="1"/>
      <c r="J54" s="2"/>
      <c r="K54" s="2"/>
      <c r="L54" s="2"/>
    </row>
    <row r="55" spans="1:12" x14ac:dyDescent="0.3">
      <c r="A55" s="2"/>
      <c r="B55" s="2"/>
      <c r="C55" s="130" t="s">
        <v>79</v>
      </c>
      <c r="D55" s="130"/>
      <c r="E55" s="130"/>
      <c r="F55" s="130"/>
      <c r="G55" s="67">
        <f>SUM(G53:G54)</f>
        <v>4907.578125</v>
      </c>
      <c r="H55" s="1"/>
      <c r="I55" s="1"/>
      <c r="J55" s="2"/>
      <c r="K55" s="2"/>
      <c r="L55" s="2"/>
    </row>
    <row r="56" spans="1:12" ht="14.4" customHeight="1" x14ac:dyDescent="0.35">
      <c r="A56" s="63" t="s">
        <v>76</v>
      </c>
      <c r="B56" s="64">
        <f>H57</f>
        <v>51.658717105263158</v>
      </c>
      <c r="C56" s="2"/>
      <c r="G56" s="1"/>
      <c r="H56" s="1"/>
      <c r="I56" s="1"/>
      <c r="J56" s="2"/>
      <c r="K56" s="2"/>
      <c r="L56" s="2"/>
    </row>
    <row r="57" spans="1:12" ht="14.4" customHeight="1" x14ac:dyDescent="0.35">
      <c r="A57" s="63">
        <v>95</v>
      </c>
      <c r="B57" s="64">
        <f>B56*A57</f>
        <v>4907.578125</v>
      </c>
      <c r="C57" s="2"/>
      <c r="G57" s="68">
        <f>G55/A54</f>
        <v>57.736213235294116</v>
      </c>
      <c r="H57" s="69">
        <f>G55/A57</f>
        <v>51.658717105263158</v>
      </c>
      <c r="I57" s="1"/>
      <c r="J57" s="2"/>
      <c r="K57" s="2"/>
      <c r="L57" s="2"/>
    </row>
    <row r="58" spans="1:12" ht="14.4" customHeight="1" x14ac:dyDescent="0.3">
      <c r="A58" s="2"/>
      <c r="B58" s="109"/>
      <c r="D58" s="70" t="s">
        <v>80</v>
      </c>
      <c r="E58" s="1"/>
      <c r="F58" s="71"/>
      <c r="G58" s="71"/>
      <c r="H58" s="1"/>
      <c r="I58" s="1"/>
      <c r="J58" s="2"/>
      <c r="K58" s="2"/>
      <c r="L58" s="2"/>
    </row>
    <row r="59" spans="1:12" ht="14.4" customHeight="1" x14ac:dyDescent="0.3">
      <c r="A59" s="2"/>
      <c r="B59" s="109"/>
      <c r="D59" s="72" t="s">
        <v>81</v>
      </c>
      <c r="E59" s="73">
        <f>I50/F50</f>
        <v>1630.078125</v>
      </c>
      <c r="F59" s="74" t="s">
        <v>20</v>
      </c>
      <c r="G59" s="71"/>
      <c r="H59" s="1"/>
      <c r="I59" s="1"/>
      <c r="J59" s="2"/>
      <c r="K59" s="2"/>
      <c r="L59" s="2"/>
    </row>
    <row r="60" spans="1:12" x14ac:dyDescent="0.3">
      <c r="A60" s="2"/>
      <c r="B60" s="75"/>
      <c r="C60" s="2"/>
      <c r="D60" s="72" t="s">
        <v>21</v>
      </c>
      <c r="E60" s="73">
        <f>L50/F50</f>
        <v>1661.3917875</v>
      </c>
      <c r="F60" s="74" t="s">
        <v>20</v>
      </c>
      <c r="G60" s="71"/>
      <c r="H60" s="1"/>
      <c r="I60" s="1"/>
      <c r="J60" s="2"/>
      <c r="K60" s="2"/>
      <c r="L60" s="2"/>
    </row>
    <row r="61" spans="1:12" x14ac:dyDescent="0.3">
      <c r="A61" s="2"/>
      <c r="B61" s="2"/>
      <c r="C61" s="1"/>
      <c r="D61" s="76"/>
      <c r="E61" s="71"/>
      <c r="F61" s="71"/>
      <c r="G61" s="1"/>
      <c r="H61" s="2"/>
      <c r="I61" s="2"/>
      <c r="J61" s="2"/>
      <c r="K61" s="2"/>
      <c r="L61" s="2"/>
    </row>
    <row r="62" spans="1:12" x14ac:dyDescent="0.3">
      <c r="D62" s="77" t="s">
        <v>21</v>
      </c>
      <c r="E62" s="78"/>
      <c r="F62" s="79" t="s">
        <v>19</v>
      </c>
    </row>
    <row r="63" spans="1:12" x14ac:dyDescent="0.3">
      <c r="B63" s="122" t="s">
        <v>82</v>
      </c>
      <c r="C63" s="122"/>
      <c r="D63" s="65">
        <f>G14</f>
        <v>3670.8</v>
      </c>
      <c r="E63" s="75"/>
      <c r="F63" s="80">
        <f>G13</f>
        <v>3277.5</v>
      </c>
    </row>
    <row r="64" spans="1:12" x14ac:dyDescent="0.3">
      <c r="B64" s="124" t="s">
        <v>83</v>
      </c>
      <c r="C64" s="125"/>
      <c r="D64" s="65">
        <f>E60</f>
        <v>1661.3917875</v>
      </c>
      <c r="E64" s="75"/>
      <c r="F64" s="80">
        <f>E59</f>
        <v>1630.078125</v>
      </c>
    </row>
    <row r="65" spans="2:6" x14ac:dyDescent="0.3">
      <c r="B65" s="66" t="s">
        <v>79</v>
      </c>
      <c r="C65" s="66"/>
      <c r="D65" s="67">
        <f>SUM(D63:D64)</f>
        <v>5332.1917874999999</v>
      </c>
      <c r="E65" s="78"/>
      <c r="F65" s="81">
        <f>SUM(F63:F64)</f>
        <v>4907.578125</v>
      </c>
    </row>
    <row r="66" spans="2:6" x14ac:dyDescent="0.3">
      <c r="D66" s="82"/>
      <c r="E66" s="1"/>
      <c r="F66" s="71"/>
    </row>
    <row r="67" spans="2:6" x14ac:dyDescent="0.3">
      <c r="D67" s="68">
        <f>D65/A54</f>
        <v>62.731668088235295</v>
      </c>
      <c r="E67" s="1"/>
      <c r="F67" s="68">
        <f>F65/A54</f>
        <v>57.736213235294116</v>
      </c>
    </row>
    <row r="74" spans="2:6" x14ac:dyDescent="0.3">
      <c r="D74" s="43"/>
    </row>
    <row r="75" spans="2:6" x14ac:dyDescent="0.3">
      <c r="D75" s="43"/>
    </row>
    <row r="76" spans="2:6" x14ac:dyDescent="0.3">
      <c r="D76" s="43"/>
    </row>
    <row r="77" spans="2:6" x14ac:dyDescent="0.3">
      <c r="D77" s="43"/>
    </row>
    <row r="78" spans="2:6" x14ac:dyDescent="0.3">
      <c r="D78" s="43"/>
    </row>
  </sheetData>
  <mergeCells count="13">
    <mergeCell ref="B64:C64"/>
    <mergeCell ref="D13:E13"/>
    <mergeCell ref="D14:E14"/>
    <mergeCell ref="C53:F53"/>
    <mergeCell ref="C54:F54"/>
    <mergeCell ref="C55:F55"/>
    <mergeCell ref="B63:C63"/>
    <mergeCell ref="L7:L8"/>
    <mergeCell ref="A1:F1"/>
    <mergeCell ref="A2:F2"/>
    <mergeCell ref="A3:F3"/>
    <mergeCell ref="A5:F5"/>
    <mergeCell ref="J7:K7"/>
  </mergeCells>
  <pageMargins left="0.11811023622047245" right="0.11811023622047245" top="0.15748031496062992" bottom="0.15748031496062992" header="0.31496062992125984" footer="0.31496062992125984"/>
  <pageSetup paperSize="9" scale="90" orientation="landscape" verticalDpi="0" r:id="rId1"/>
  <ignoredErrors>
    <ignoredError sqref="I22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5CA3C-EE16-454A-800E-4B46FA271231}">
  <dimension ref="A1:N81"/>
  <sheetViews>
    <sheetView topLeftCell="A8" workbookViewId="0">
      <selection activeCell="O12" sqref="O12"/>
    </sheetView>
  </sheetViews>
  <sheetFormatPr defaultRowHeight="14.4" x14ac:dyDescent="0.3"/>
  <cols>
    <col min="1" max="1" width="9.88671875" bestFit="1" customWidth="1"/>
    <col min="2" max="2" width="46.44140625" bestFit="1" customWidth="1"/>
    <col min="3" max="3" width="13.109375" bestFit="1" customWidth="1"/>
    <col min="4" max="4" width="10.33203125" bestFit="1" customWidth="1"/>
    <col min="5" max="5" width="8.21875" bestFit="1" customWidth="1"/>
    <col min="6" max="6" width="8.5546875" bestFit="1" customWidth="1"/>
    <col min="7" max="7" width="9.6640625" style="43" customWidth="1"/>
    <col min="8" max="8" width="7.88671875" bestFit="1" customWidth="1"/>
    <col min="9" max="9" width="10.44140625" bestFit="1" customWidth="1"/>
    <col min="10" max="10" width="5.44140625" bestFit="1" customWidth="1"/>
    <col min="11" max="11" width="9.44140625" bestFit="1" customWidth="1"/>
    <col min="12" max="12" width="10.44140625" bestFit="1" customWidth="1"/>
    <col min="13" max="13" width="5" bestFit="1" customWidth="1"/>
    <col min="14" max="14" width="7" bestFit="1" customWidth="1"/>
  </cols>
  <sheetData>
    <row r="1" spans="1:13" x14ac:dyDescent="0.3">
      <c r="A1" s="114" t="s">
        <v>0</v>
      </c>
      <c r="B1" s="115"/>
      <c r="C1" s="115"/>
      <c r="D1" s="115"/>
      <c r="E1" s="115"/>
      <c r="F1" s="115"/>
      <c r="G1" s="1"/>
      <c r="H1" s="2"/>
      <c r="I1" s="2"/>
      <c r="J1" s="2"/>
      <c r="K1" s="2"/>
      <c r="L1" s="2"/>
    </row>
    <row r="2" spans="1:13" x14ac:dyDescent="0.3">
      <c r="A2" s="114" t="s">
        <v>1</v>
      </c>
      <c r="B2" s="115"/>
      <c r="C2" s="115"/>
      <c r="D2" s="115"/>
      <c r="E2" s="115"/>
      <c r="F2" s="115"/>
      <c r="G2" s="1"/>
      <c r="H2" s="2"/>
      <c r="I2" s="2"/>
      <c r="J2" s="2"/>
      <c r="K2" s="2"/>
      <c r="L2" s="2"/>
    </row>
    <row r="3" spans="1:13" ht="18" x14ac:dyDescent="0.35">
      <c r="A3" s="116" t="s">
        <v>206</v>
      </c>
      <c r="B3" s="116"/>
      <c r="C3" s="116"/>
      <c r="D3" s="116"/>
      <c r="E3" s="116"/>
      <c r="F3" s="116"/>
      <c r="G3" s="3"/>
      <c r="H3" s="4"/>
      <c r="I3" s="4"/>
      <c r="J3" s="4"/>
      <c r="K3" s="4"/>
      <c r="L3" s="4"/>
    </row>
    <row r="4" spans="1:13" x14ac:dyDescent="0.3">
      <c r="G4" s="1"/>
      <c r="H4" s="2"/>
      <c r="I4" s="2"/>
      <c r="J4" s="2"/>
      <c r="K4" s="2"/>
      <c r="L4" s="2"/>
    </row>
    <row r="5" spans="1:13" ht="21" x14ac:dyDescent="0.4">
      <c r="A5" s="128" t="s">
        <v>2</v>
      </c>
      <c r="B5" s="129"/>
      <c r="C5" s="129"/>
      <c r="D5" s="129"/>
      <c r="E5" s="129"/>
      <c r="F5" s="129"/>
      <c r="G5" s="1"/>
      <c r="H5" s="2"/>
      <c r="I5" s="2"/>
      <c r="J5" s="2"/>
      <c r="K5" s="2"/>
      <c r="L5" s="2"/>
    </row>
    <row r="6" spans="1:13" x14ac:dyDescent="0.3">
      <c r="A6" s="2"/>
      <c r="B6" s="2"/>
      <c r="C6" s="2"/>
      <c r="D6" s="2"/>
      <c r="E6" s="2"/>
      <c r="F6" s="2"/>
      <c r="G6" s="1"/>
      <c r="H6" s="2"/>
      <c r="I6" s="2"/>
      <c r="J6" s="2"/>
      <c r="K6" s="2"/>
      <c r="L6" s="2"/>
    </row>
    <row r="7" spans="1:13" ht="24" x14ac:dyDescent="0.3">
      <c r="A7" s="5" t="s">
        <v>3</v>
      </c>
      <c r="B7" s="6" t="s">
        <v>4</v>
      </c>
      <c r="C7" s="7" t="s">
        <v>5</v>
      </c>
      <c r="D7" s="7" t="s">
        <v>6</v>
      </c>
      <c r="E7" s="7" t="s">
        <v>7</v>
      </c>
      <c r="F7" s="6" t="s">
        <v>8</v>
      </c>
      <c r="G7" s="7" t="s">
        <v>9</v>
      </c>
      <c r="H7" s="8" t="s">
        <v>10</v>
      </c>
      <c r="I7" s="7" t="s">
        <v>11</v>
      </c>
      <c r="J7" s="117" t="s">
        <v>12</v>
      </c>
      <c r="K7" s="118"/>
      <c r="L7" s="119" t="s">
        <v>13</v>
      </c>
    </row>
    <row r="8" spans="1:13" x14ac:dyDescent="0.3">
      <c r="A8" s="9" t="s">
        <v>14</v>
      </c>
      <c r="B8" s="99"/>
      <c r="C8" s="10"/>
      <c r="D8" s="10"/>
      <c r="E8" s="10"/>
      <c r="F8" s="9"/>
      <c r="G8" s="10"/>
      <c r="H8" s="10"/>
      <c r="I8" s="10"/>
      <c r="J8" s="10" t="s">
        <v>15</v>
      </c>
      <c r="K8" s="11" t="s">
        <v>11</v>
      </c>
      <c r="L8" s="119"/>
    </row>
    <row r="9" spans="1:13" x14ac:dyDescent="0.3">
      <c r="A9" s="12"/>
      <c r="B9" s="99" t="s">
        <v>207</v>
      </c>
      <c r="C9" s="10" t="s">
        <v>208</v>
      </c>
      <c r="D9" s="14" t="s">
        <v>17</v>
      </c>
      <c r="E9" s="15">
        <v>362</v>
      </c>
      <c r="F9" s="15">
        <f>E9*F11</f>
        <v>362</v>
      </c>
      <c r="G9" s="14">
        <v>9.5</v>
      </c>
      <c r="H9" s="16">
        <f>F9*G9</f>
        <v>3439</v>
      </c>
      <c r="I9" s="17">
        <f>F9*G9</f>
        <v>3439</v>
      </c>
      <c r="J9" s="18">
        <v>0.12</v>
      </c>
      <c r="K9" s="19">
        <f>I9*J9</f>
        <v>412.68</v>
      </c>
      <c r="L9" s="15">
        <f>I9+K9</f>
        <v>3851.68</v>
      </c>
    </row>
    <row r="10" spans="1:13" x14ac:dyDescent="0.3">
      <c r="A10" s="12"/>
      <c r="B10" s="99"/>
      <c r="C10" s="20"/>
      <c r="D10" s="14"/>
      <c r="E10" s="15"/>
      <c r="F10" s="15"/>
      <c r="G10" s="14"/>
      <c r="H10" s="16"/>
      <c r="I10" s="17"/>
      <c r="J10" s="18"/>
      <c r="K10" s="19"/>
      <c r="L10" s="15"/>
    </row>
    <row r="11" spans="1:13" ht="18" x14ac:dyDescent="0.3">
      <c r="A11" s="21"/>
      <c r="B11" s="13" t="s">
        <v>242</v>
      </c>
      <c r="E11" s="23"/>
      <c r="F11" s="24">
        <v>1</v>
      </c>
      <c r="G11" s="23"/>
      <c r="H11" s="25">
        <f>SUM(H9:H10)</f>
        <v>3439</v>
      </c>
      <c r="I11" s="26">
        <f>SUM(I9:I10)</f>
        <v>3439</v>
      </c>
      <c r="J11" s="27"/>
      <c r="K11" s="28">
        <f>SUM(K9:K10)</f>
        <v>412.68</v>
      </c>
      <c r="L11" s="29">
        <f>SUM(L9:L10)</f>
        <v>3851.68</v>
      </c>
    </row>
    <row r="12" spans="1:13" x14ac:dyDescent="0.3">
      <c r="A12" s="12"/>
      <c r="B12" s="12"/>
      <c r="C12" s="14"/>
      <c r="D12" s="120" t="s">
        <v>19</v>
      </c>
      <c r="E12" s="121"/>
      <c r="F12" s="35" t="s">
        <v>20</v>
      </c>
      <c r="G12" s="36">
        <f>I11/F11</f>
        <v>3439</v>
      </c>
      <c r="H12" s="37"/>
      <c r="I12" s="38"/>
      <c r="J12" s="39"/>
      <c r="K12" s="40"/>
      <c r="L12" s="41"/>
    </row>
    <row r="13" spans="1:13" x14ac:dyDescent="0.3">
      <c r="A13" s="12"/>
      <c r="B13" s="12"/>
      <c r="C13" s="14"/>
      <c r="D13" s="120" t="s">
        <v>21</v>
      </c>
      <c r="E13" s="121"/>
      <c r="F13" s="35" t="s">
        <v>20</v>
      </c>
      <c r="G13" s="36">
        <f>L11/F11</f>
        <v>3851.68</v>
      </c>
      <c r="H13" s="37"/>
      <c r="I13" s="38"/>
      <c r="J13" s="39"/>
      <c r="K13" s="40"/>
      <c r="L13" s="41"/>
    </row>
    <row r="14" spans="1:13" x14ac:dyDescent="0.3">
      <c r="A14" s="9" t="s">
        <v>22</v>
      </c>
      <c r="B14" s="42" t="s">
        <v>209</v>
      </c>
      <c r="C14" s="14" t="str">
        <f>C9</f>
        <v>D. BROWN</v>
      </c>
      <c r="D14" s="14" t="s">
        <v>24</v>
      </c>
      <c r="E14" s="14">
        <v>0.25</v>
      </c>
      <c r="F14" s="41">
        <f>E14*F10</f>
        <v>0</v>
      </c>
      <c r="G14" s="14">
        <v>55</v>
      </c>
      <c r="H14" s="37">
        <f>E14*G14</f>
        <v>13.75</v>
      </c>
      <c r="I14" s="38">
        <f>F14*G14</f>
        <v>0</v>
      </c>
      <c r="J14" s="39">
        <v>0.12</v>
      </c>
      <c r="K14" s="40">
        <f t="shared" ref="K14:K21" si="0">I14*J14</f>
        <v>0</v>
      </c>
      <c r="L14" s="41">
        <f t="shared" ref="L14:L21" si="1">I14+K14</f>
        <v>0</v>
      </c>
    </row>
    <row r="15" spans="1:13" x14ac:dyDescent="0.3">
      <c r="A15" s="9"/>
      <c r="B15" s="42" t="s">
        <v>223</v>
      </c>
      <c r="C15" s="14" t="str">
        <f>C9</f>
        <v>D. BROWN</v>
      </c>
      <c r="D15" s="14" t="s">
        <v>24</v>
      </c>
      <c r="E15" s="14">
        <v>2</v>
      </c>
      <c r="F15" s="41">
        <f>E15*F11</f>
        <v>2</v>
      </c>
      <c r="G15" s="14">
        <v>45</v>
      </c>
      <c r="H15" s="37">
        <f>E15*G15</f>
        <v>90</v>
      </c>
      <c r="I15" s="38">
        <f>F15*G15</f>
        <v>90</v>
      </c>
      <c r="J15" s="39">
        <v>0.12</v>
      </c>
      <c r="K15" s="40">
        <f t="shared" si="0"/>
        <v>10.799999999999999</v>
      </c>
      <c r="L15" s="41">
        <f t="shared" si="1"/>
        <v>100.8</v>
      </c>
    </row>
    <row r="16" spans="1:13" x14ac:dyDescent="0.3">
      <c r="A16" s="9"/>
      <c r="B16" s="42" t="s">
        <v>171</v>
      </c>
      <c r="C16" s="14" t="str">
        <f>C9</f>
        <v>D. BROWN</v>
      </c>
      <c r="D16" s="14" t="s">
        <v>43</v>
      </c>
      <c r="E16" s="14">
        <v>1</v>
      </c>
      <c r="F16" s="41">
        <f>E16*F11</f>
        <v>1</v>
      </c>
      <c r="G16" s="14">
        <v>425</v>
      </c>
      <c r="H16" s="37">
        <f>E16*G16</f>
        <v>425</v>
      </c>
      <c r="I16" s="38">
        <f>F16*G16</f>
        <v>425</v>
      </c>
      <c r="J16" s="39">
        <v>0.12</v>
      </c>
      <c r="K16" s="40">
        <f t="shared" si="0"/>
        <v>51</v>
      </c>
      <c r="L16" s="41">
        <f t="shared" si="1"/>
        <v>476</v>
      </c>
      <c r="M16">
        <v>325</v>
      </c>
    </row>
    <row r="17" spans="1:14" x14ac:dyDescent="0.3">
      <c r="A17" s="9"/>
      <c r="B17" s="42" t="s">
        <v>224</v>
      </c>
      <c r="C17" s="14" t="str">
        <f>C9</f>
        <v>D. BROWN</v>
      </c>
      <c r="D17" s="14" t="s">
        <v>43</v>
      </c>
      <c r="E17" s="14">
        <v>1.5</v>
      </c>
      <c r="F17" s="41">
        <f>E17*F11</f>
        <v>1.5</v>
      </c>
      <c r="G17" s="14">
        <v>65</v>
      </c>
      <c r="H17" s="37">
        <f>E17*G17</f>
        <v>97.5</v>
      </c>
      <c r="I17" s="38">
        <f>F17*G17</f>
        <v>97.5</v>
      </c>
      <c r="J17" s="39">
        <v>0.12</v>
      </c>
      <c r="K17" s="40">
        <f t="shared" si="0"/>
        <v>11.7</v>
      </c>
      <c r="L17" s="41">
        <f t="shared" si="1"/>
        <v>109.2</v>
      </c>
    </row>
    <row r="18" spans="1:14" x14ac:dyDescent="0.3">
      <c r="A18" s="9"/>
      <c r="B18" s="42" t="s">
        <v>225</v>
      </c>
      <c r="C18" s="14">
        <f>C8</f>
        <v>0</v>
      </c>
      <c r="D18" s="14" t="s">
        <v>28</v>
      </c>
      <c r="E18" s="14">
        <v>75</v>
      </c>
      <c r="F18" s="41">
        <f>E18*F11</f>
        <v>75</v>
      </c>
      <c r="G18" s="14">
        <v>950</v>
      </c>
      <c r="H18" s="37">
        <f>F18/1000*G18/F11</f>
        <v>71.25</v>
      </c>
      <c r="I18" s="38">
        <f>F18/1000*G18</f>
        <v>71.25</v>
      </c>
      <c r="J18" s="39">
        <v>0.12</v>
      </c>
      <c r="K18" s="40">
        <f t="shared" si="0"/>
        <v>8.5499999999999989</v>
      </c>
      <c r="L18" s="41">
        <f t="shared" si="1"/>
        <v>79.8</v>
      </c>
    </row>
    <row r="19" spans="1:14" x14ac:dyDescent="0.3">
      <c r="A19" s="9" t="s">
        <v>26</v>
      </c>
      <c r="B19" s="12" t="s">
        <v>27</v>
      </c>
      <c r="C19" s="14" t="str">
        <f>C9</f>
        <v>D. BROWN</v>
      </c>
      <c r="D19" s="14" t="s">
        <v>28</v>
      </c>
      <c r="E19" s="14">
        <v>100</v>
      </c>
      <c r="F19" s="41">
        <f>E19*F11</f>
        <v>100</v>
      </c>
      <c r="G19" s="14">
        <v>125</v>
      </c>
      <c r="H19" s="37">
        <f>F19/1000*G19/F11</f>
        <v>12.5</v>
      </c>
      <c r="I19" s="38">
        <f>F19/1000*G19</f>
        <v>12.5</v>
      </c>
      <c r="J19" s="39">
        <v>0.12</v>
      </c>
      <c r="K19" s="40">
        <f t="shared" si="0"/>
        <v>1.5</v>
      </c>
      <c r="L19" s="41">
        <f t="shared" si="1"/>
        <v>14</v>
      </c>
    </row>
    <row r="20" spans="1:14" x14ac:dyDescent="0.3">
      <c r="A20" s="9"/>
      <c r="B20" s="12" t="s">
        <v>29</v>
      </c>
      <c r="C20" s="14" t="str">
        <f>C9</f>
        <v>D. BROWN</v>
      </c>
      <c r="D20" s="14" t="s">
        <v>28</v>
      </c>
      <c r="E20" s="14">
        <v>100</v>
      </c>
      <c r="F20" s="41">
        <f>E20*F11</f>
        <v>100</v>
      </c>
      <c r="G20" s="14">
        <v>257</v>
      </c>
      <c r="H20" s="37">
        <f>F20/5000*G20/F11</f>
        <v>5.14</v>
      </c>
      <c r="I20" s="38">
        <f>H20*F11</f>
        <v>5.14</v>
      </c>
      <c r="J20" s="39">
        <v>0.12</v>
      </c>
      <c r="K20" s="40">
        <f t="shared" si="0"/>
        <v>0.6167999999999999</v>
      </c>
      <c r="L20" s="41">
        <f t="shared" si="1"/>
        <v>5.7567999999999993</v>
      </c>
    </row>
    <row r="21" spans="1:14" x14ac:dyDescent="0.3">
      <c r="A21" s="9"/>
      <c r="B21" s="12" t="s">
        <v>30</v>
      </c>
      <c r="C21" s="14" t="str">
        <f>C9</f>
        <v>D. BROWN</v>
      </c>
      <c r="D21" s="14" t="s">
        <v>28</v>
      </c>
      <c r="E21" s="14">
        <v>50</v>
      </c>
      <c r="F21" s="41">
        <f>E21*F11</f>
        <v>50</v>
      </c>
      <c r="G21" s="14">
        <v>162</v>
      </c>
      <c r="H21" s="37">
        <f>F21/1000*G21/F11</f>
        <v>8.1</v>
      </c>
      <c r="I21" s="38">
        <f>F21/1000*G21</f>
        <v>8.1</v>
      </c>
      <c r="J21" s="39">
        <v>0.12</v>
      </c>
      <c r="K21" s="40">
        <f t="shared" si="0"/>
        <v>0.97199999999999998</v>
      </c>
      <c r="L21" s="41">
        <f t="shared" si="1"/>
        <v>9.0719999999999992</v>
      </c>
    </row>
    <row r="22" spans="1:14" x14ac:dyDescent="0.3">
      <c r="A22" s="9"/>
      <c r="B22" s="12"/>
      <c r="C22" s="14"/>
      <c r="D22" s="14"/>
      <c r="E22" s="14"/>
      <c r="F22" s="41"/>
      <c r="G22" s="14"/>
      <c r="H22" s="37"/>
      <c r="I22" s="38"/>
      <c r="J22" s="39"/>
      <c r="K22" s="40"/>
      <c r="L22" s="41"/>
    </row>
    <row r="23" spans="1:14" x14ac:dyDescent="0.3">
      <c r="A23" s="9" t="s">
        <v>31</v>
      </c>
      <c r="B23" s="12" t="s">
        <v>32</v>
      </c>
      <c r="C23" s="14" t="s">
        <v>33</v>
      </c>
      <c r="D23" s="14" t="s">
        <v>34</v>
      </c>
      <c r="E23" s="14">
        <v>1</v>
      </c>
      <c r="F23" s="41">
        <f>E23*F11</f>
        <v>1</v>
      </c>
      <c r="G23" s="14">
        <v>16</v>
      </c>
      <c r="H23" s="37">
        <f>E23*G23</f>
        <v>16</v>
      </c>
      <c r="I23" s="38">
        <f>F23*G23</f>
        <v>16</v>
      </c>
      <c r="J23" s="39">
        <v>0.18</v>
      </c>
      <c r="K23" s="40">
        <f>I23*J23</f>
        <v>2.88</v>
      </c>
      <c r="L23" s="41">
        <f>I23+K23</f>
        <v>18.88</v>
      </c>
    </row>
    <row r="24" spans="1:14" x14ac:dyDescent="0.3">
      <c r="A24" s="9"/>
      <c r="B24" s="12" t="s">
        <v>35</v>
      </c>
      <c r="C24" s="14" t="s">
        <v>36</v>
      </c>
      <c r="D24" s="14" t="s">
        <v>37</v>
      </c>
      <c r="E24" s="14">
        <v>0.15</v>
      </c>
      <c r="F24" s="41">
        <f>E24*F11</f>
        <v>0.15</v>
      </c>
      <c r="G24" s="14">
        <v>88</v>
      </c>
      <c r="H24" s="37">
        <f>E24*G24</f>
        <v>13.2</v>
      </c>
      <c r="I24" s="38">
        <f>F24*G24</f>
        <v>13.2</v>
      </c>
      <c r="J24" s="39">
        <v>0.18</v>
      </c>
      <c r="K24" s="40">
        <f>I24*J24</f>
        <v>2.3759999999999999</v>
      </c>
      <c r="L24" s="41">
        <f>I24+K24</f>
        <v>15.575999999999999</v>
      </c>
    </row>
    <row r="25" spans="1:14" x14ac:dyDescent="0.3">
      <c r="A25" s="9"/>
      <c r="B25" s="12" t="s">
        <v>38</v>
      </c>
      <c r="C25" s="14" t="s">
        <v>39</v>
      </c>
      <c r="D25" s="14" t="s">
        <v>34</v>
      </c>
      <c r="E25" s="14">
        <v>3.75</v>
      </c>
      <c r="F25" s="41">
        <f>E25*F11</f>
        <v>3.75</v>
      </c>
      <c r="G25" s="14">
        <v>0.6875</v>
      </c>
      <c r="H25" s="37">
        <f>E25*G25</f>
        <v>2.578125</v>
      </c>
      <c r="I25" s="38">
        <f>F25*G25</f>
        <v>2.578125</v>
      </c>
      <c r="J25" s="39">
        <v>0.18</v>
      </c>
      <c r="K25" s="40">
        <f>I25*J25</f>
        <v>0.46406249999999999</v>
      </c>
      <c r="L25" s="41">
        <f>I25+K25</f>
        <v>3.0421874999999998</v>
      </c>
    </row>
    <row r="26" spans="1:14" x14ac:dyDescent="0.3">
      <c r="A26" s="9"/>
      <c r="B26" s="12"/>
      <c r="C26" s="14"/>
      <c r="D26" s="14"/>
      <c r="E26" s="14"/>
      <c r="F26" s="41"/>
      <c r="G26" s="14"/>
      <c r="H26" s="37"/>
      <c r="I26" s="38"/>
      <c r="J26" s="39"/>
      <c r="K26" s="40"/>
      <c r="L26" s="41"/>
    </row>
    <row r="27" spans="1:14" x14ac:dyDescent="0.3">
      <c r="A27" s="9"/>
      <c r="B27" s="12" t="s">
        <v>210</v>
      </c>
      <c r="C27" s="14" t="str">
        <f>C9</f>
        <v>D. BROWN</v>
      </c>
      <c r="D27" s="14" t="s">
        <v>43</v>
      </c>
      <c r="E27" s="14">
        <v>1</v>
      </c>
      <c r="F27" s="41">
        <f>E27*F11</f>
        <v>1</v>
      </c>
      <c r="G27" s="14">
        <v>169</v>
      </c>
      <c r="H27" s="37">
        <f t="shared" ref="H27:H28" si="2">E27*G27</f>
        <v>169</v>
      </c>
      <c r="I27" s="38">
        <f t="shared" ref="I27:I28" si="3">F27*G27</f>
        <v>169</v>
      </c>
      <c r="J27" s="39">
        <v>0.18</v>
      </c>
      <c r="K27" s="40">
        <f t="shared" ref="K27:K28" si="4">I27*J27</f>
        <v>30.419999999999998</v>
      </c>
      <c r="L27" s="41">
        <f t="shared" ref="L27:L28" si="5">I27+K27</f>
        <v>199.42</v>
      </c>
      <c r="M27">
        <v>1.9</v>
      </c>
      <c r="N27">
        <f>M27*85</f>
        <v>161.5</v>
      </c>
    </row>
    <row r="28" spans="1:14" x14ac:dyDescent="0.3">
      <c r="A28" s="12"/>
      <c r="B28" s="12" t="s">
        <v>161</v>
      </c>
      <c r="C28" s="14" t="s">
        <v>162</v>
      </c>
      <c r="D28" s="14" t="s">
        <v>43</v>
      </c>
      <c r="E28" s="14">
        <v>6</v>
      </c>
      <c r="F28" s="41">
        <f>E28*F11</f>
        <v>6</v>
      </c>
      <c r="G28" s="14">
        <v>7</v>
      </c>
      <c r="H28" s="37">
        <f t="shared" si="2"/>
        <v>42</v>
      </c>
      <c r="I28" s="38">
        <f t="shared" si="3"/>
        <v>42</v>
      </c>
      <c r="J28" s="39">
        <v>0.18</v>
      </c>
      <c r="K28" s="40">
        <f t="shared" si="4"/>
        <v>7.56</v>
      </c>
      <c r="L28" s="41">
        <f t="shared" si="5"/>
        <v>49.56</v>
      </c>
    </row>
    <row r="29" spans="1:14" x14ac:dyDescent="0.3">
      <c r="A29" s="12"/>
      <c r="B29" s="12"/>
      <c r="C29" s="14"/>
      <c r="D29" s="14"/>
      <c r="E29" s="14"/>
      <c r="F29" s="41"/>
      <c r="G29" s="14"/>
      <c r="H29" s="37"/>
      <c r="I29" s="38"/>
      <c r="J29" s="39"/>
      <c r="K29" s="40"/>
      <c r="L29" s="41"/>
    </row>
    <row r="30" spans="1:14" x14ac:dyDescent="0.3">
      <c r="A30" s="12" t="s">
        <v>47</v>
      </c>
      <c r="B30" s="12" t="s">
        <v>167</v>
      </c>
      <c r="C30" s="14" t="s">
        <v>36</v>
      </c>
      <c r="D30" s="14" t="s">
        <v>43</v>
      </c>
      <c r="E30" s="14">
        <v>1</v>
      </c>
      <c r="F30" s="41">
        <f>E30*F11</f>
        <v>1</v>
      </c>
      <c r="G30" s="14">
        <v>12</v>
      </c>
      <c r="H30" s="37">
        <f>E30*G30</f>
        <v>12</v>
      </c>
      <c r="I30" s="38">
        <f>F30*G30</f>
        <v>12</v>
      </c>
      <c r="J30" s="39">
        <v>0.12</v>
      </c>
      <c r="K30" s="40">
        <f>I30*J30</f>
        <v>1.44</v>
      </c>
      <c r="L30" s="41">
        <f>I30+K30</f>
        <v>13.44</v>
      </c>
    </row>
    <row r="31" spans="1:14" x14ac:dyDescent="0.3">
      <c r="A31" s="12"/>
      <c r="B31" s="12" t="s">
        <v>168</v>
      </c>
      <c r="C31" s="14" t="s">
        <v>36</v>
      </c>
      <c r="D31" s="14" t="s">
        <v>43</v>
      </c>
      <c r="E31" s="14">
        <v>1</v>
      </c>
      <c r="F31" s="41">
        <f>E31*F11</f>
        <v>1</v>
      </c>
      <c r="G31" s="14">
        <v>7</v>
      </c>
      <c r="H31" s="37">
        <f>E31*G31</f>
        <v>7</v>
      </c>
      <c r="I31" s="38">
        <f>F31*G31</f>
        <v>7</v>
      </c>
      <c r="J31" s="39">
        <v>0.12</v>
      </c>
      <c r="K31" s="40">
        <f>I31*J31</f>
        <v>0.84</v>
      </c>
      <c r="L31" s="41">
        <f>I31+K31</f>
        <v>7.84</v>
      </c>
    </row>
    <row r="32" spans="1:14" x14ac:dyDescent="0.3">
      <c r="A32" s="12"/>
      <c r="B32" s="12" t="s">
        <v>169</v>
      </c>
      <c r="C32" s="14" t="s">
        <v>36</v>
      </c>
      <c r="D32" s="14" t="s">
        <v>43</v>
      </c>
      <c r="E32" s="14">
        <v>1</v>
      </c>
      <c r="F32" s="41">
        <f>E32*F11</f>
        <v>1</v>
      </c>
      <c r="G32" s="14">
        <v>4</v>
      </c>
      <c r="H32" s="37">
        <f>E32*G32</f>
        <v>4</v>
      </c>
      <c r="I32" s="38">
        <f>F32*G32</f>
        <v>4</v>
      </c>
      <c r="J32" s="39">
        <v>0.12</v>
      </c>
      <c r="K32" s="40">
        <f>I32*J32</f>
        <v>0.48</v>
      </c>
      <c r="L32" s="41">
        <f>I32+K32</f>
        <v>4.4800000000000004</v>
      </c>
    </row>
    <row r="33" spans="1:12" x14ac:dyDescent="0.3">
      <c r="A33" s="12"/>
      <c r="B33" s="12" t="s">
        <v>49</v>
      </c>
      <c r="C33" s="14" t="s">
        <v>36</v>
      </c>
      <c r="D33" s="14" t="s">
        <v>43</v>
      </c>
      <c r="E33" s="14">
        <v>1</v>
      </c>
      <c r="F33" s="41">
        <f>E33*F11</f>
        <v>1</v>
      </c>
      <c r="G33" s="14">
        <v>3.5</v>
      </c>
      <c r="H33" s="37">
        <f>E33*G33</f>
        <v>3.5</v>
      </c>
      <c r="I33" s="38">
        <f>F33*G33</f>
        <v>3.5</v>
      </c>
      <c r="J33" s="39">
        <v>0.12</v>
      </c>
      <c r="K33" s="40">
        <f>I33*J33</f>
        <v>0.42</v>
      </c>
      <c r="L33" s="41">
        <f>I33+K33</f>
        <v>3.92</v>
      </c>
    </row>
    <row r="34" spans="1:12" x14ac:dyDescent="0.3">
      <c r="A34" s="9"/>
      <c r="B34" s="12" t="s">
        <v>50</v>
      </c>
      <c r="C34" s="14" t="s">
        <v>36</v>
      </c>
      <c r="D34" s="14" t="s">
        <v>43</v>
      </c>
      <c r="E34" s="14">
        <v>1</v>
      </c>
      <c r="F34" s="41">
        <f>E34*F11</f>
        <v>1</v>
      </c>
      <c r="G34" s="14">
        <v>4</v>
      </c>
      <c r="H34" s="37">
        <v>4</v>
      </c>
      <c r="I34" s="38">
        <f>F34*G34</f>
        <v>4</v>
      </c>
      <c r="J34" s="39">
        <v>0.12</v>
      </c>
      <c r="K34" s="40">
        <f>I34*J34</f>
        <v>0.48</v>
      </c>
      <c r="L34" s="41">
        <f>I34+K34</f>
        <v>4.4800000000000004</v>
      </c>
    </row>
    <row r="35" spans="1:12" x14ac:dyDescent="0.3">
      <c r="A35" s="9"/>
      <c r="B35" s="12"/>
      <c r="C35" s="14"/>
      <c r="D35" s="14"/>
      <c r="E35" s="14"/>
      <c r="F35" s="41"/>
      <c r="G35" s="14"/>
      <c r="H35" s="12"/>
      <c r="I35" s="41"/>
      <c r="J35" s="39"/>
      <c r="K35" s="41"/>
      <c r="L35" s="41"/>
    </row>
    <row r="36" spans="1:12" ht="21.6" x14ac:dyDescent="0.3">
      <c r="A36" s="100" t="s">
        <v>51</v>
      </c>
      <c r="B36" s="21" t="s">
        <v>52</v>
      </c>
      <c r="C36" s="23" t="s">
        <v>36</v>
      </c>
      <c r="D36" s="23" t="s">
        <v>43</v>
      </c>
      <c r="E36" s="23">
        <v>1</v>
      </c>
      <c r="F36" s="45">
        <f>F11*E36</f>
        <v>1</v>
      </c>
      <c r="G36" s="23">
        <v>12</v>
      </c>
      <c r="H36" s="46">
        <f t="shared" ref="H36:H41" si="6">E36*G36</f>
        <v>12</v>
      </c>
      <c r="I36" s="47">
        <f t="shared" ref="I36:I40" si="7">F36*G36</f>
        <v>12</v>
      </c>
      <c r="J36" s="48">
        <v>0.18</v>
      </c>
      <c r="K36" s="49">
        <f t="shared" ref="K36:K41" si="8">I36*J36</f>
        <v>2.16</v>
      </c>
      <c r="L36" s="45">
        <f t="shared" ref="L36:L42" si="9">I36+K36</f>
        <v>14.16</v>
      </c>
    </row>
    <row r="37" spans="1:12" x14ac:dyDescent="0.3">
      <c r="A37" s="12"/>
      <c r="B37" s="12" t="s">
        <v>53</v>
      </c>
      <c r="C37" s="14" t="s">
        <v>36</v>
      </c>
      <c r="D37" s="14" t="s">
        <v>43</v>
      </c>
      <c r="E37" s="14">
        <v>1</v>
      </c>
      <c r="F37" s="41">
        <f>E37*F11</f>
        <v>1</v>
      </c>
      <c r="G37" s="14">
        <v>5</v>
      </c>
      <c r="H37" s="37">
        <f t="shared" si="6"/>
        <v>5</v>
      </c>
      <c r="I37" s="38">
        <f t="shared" si="7"/>
        <v>5</v>
      </c>
      <c r="J37" s="39">
        <v>0.18</v>
      </c>
      <c r="K37" s="40">
        <f t="shared" si="8"/>
        <v>0.89999999999999991</v>
      </c>
      <c r="L37" s="41">
        <f t="shared" si="9"/>
        <v>5.9</v>
      </c>
    </row>
    <row r="38" spans="1:12" x14ac:dyDescent="0.3">
      <c r="A38" s="12"/>
      <c r="B38" s="12" t="s">
        <v>54</v>
      </c>
      <c r="C38" s="14" t="s">
        <v>36</v>
      </c>
      <c r="D38" s="14" t="s">
        <v>55</v>
      </c>
      <c r="E38" s="14">
        <v>1</v>
      </c>
      <c r="F38" s="41">
        <f>E38*F11</f>
        <v>1</v>
      </c>
      <c r="G38" s="14">
        <v>12</v>
      </c>
      <c r="H38" s="37">
        <f t="shared" si="6"/>
        <v>12</v>
      </c>
      <c r="I38" s="38">
        <f t="shared" si="7"/>
        <v>12</v>
      </c>
      <c r="J38" s="39">
        <v>0.18</v>
      </c>
      <c r="K38" s="40">
        <f t="shared" si="8"/>
        <v>2.16</v>
      </c>
      <c r="L38" s="41">
        <f t="shared" si="9"/>
        <v>14.16</v>
      </c>
    </row>
    <row r="39" spans="1:12" x14ac:dyDescent="0.3">
      <c r="A39" s="12"/>
      <c r="B39" s="12" t="s">
        <v>56</v>
      </c>
      <c r="C39" s="14" t="s">
        <v>36</v>
      </c>
      <c r="D39" s="14" t="s">
        <v>55</v>
      </c>
      <c r="E39" s="14">
        <v>0.2</v>
      </c>
      <c r="F39" s="41">
        <f>E39*F11</f>
        <v>0.2</v>
      </c>
      <c r="G39" s="14">
        <v>115</v>
      </c>
      <c r="H39" s="37">
        <v>15</v>
      </c>
      <c r="I39" s="38">
        <f>H39*F11</f>
        <v>15</v>
      </c>
      <c r="J39" s="39">
        <v>0.18</v>
      </c>
      <c r="K39" s="40">
        <f t="shared" si="8"/>
        <v>2.6999999999999997</v>
      </c>
      <c r="L39" s="41">
        <f t="shared" si="9"/>
        <v>17.7</v>
      </c>
    </row>
    <row r="40" spans="1:12" x14ac:dyDescent="0.3">
      <c r="A40" s="12"/>
      <c r="B40" s="12" t="s">
        <v>57</v>
      </c>
      <c r="C40" s="14" t="s">
        <v>36</v>
      </c>
      <c r="D40" s="14" t="s">
        <v>58</v>
      </c>
      <c r="E40" s="14">
        <v>2</v>
      </c>
      <c r="F40" s="41">
        <f>E40*F11</f>
        <v>2</v>
      </c>
      <c r="G40" s="14">
        <v>1.35</v>
      </c>
      <c r="H40" s="37">
        <f t="shared" si="6"/>
        <v>2.7</v>
      </c>
      <c r="I40" s="38">
        <f t="shared" si="7"/>
        <v>2.7</v>
      </c>
      <c r="J40" s="39">
        <v>0.18</v>
      </c>
      <c r="K40" s="40">
        <f t="shared" si="8"/>
        <v>0.48599999999999999</v>
      </c>
      <c r="L40" s="41">
        <f t="shared" si="9"/>
        <v>3.1859999999999999</v>
      </c>
    </row>
    <row r="41" spans="1:12" x14ac:dyDescent="0.3">
      <c r="A41" s="12"/>
      <c r="B41" s="12" t="s">
        <v>59</v>
      </c>
      <c r="C41" s="14" t="s">
        <v>36</v>
      </c>
      <c r="D41" s="14" t="s">
        <v>43</v>
      </c>
      <c r="E41" s="14">
        <v>7.0000000000000007E-2</v>
      </c>
      <c r="F41" s="41">
        <f>E41*F11</f>
        <v>7.0000000000000007E-2</v>
      </c>
      <c r="G41" s="14">
        <v>168</v>
      </c>
      <c r="H41" s="37">
        <f t="shared" si="6"/>
        <v>11.760000000000002</v>
      </c>
      <c r="I41" s="38">
        <f>F41*G41</f>
        <v>11.760000000000002</v>
      </c>
      <c r="J41" s="39">
        <v>0.18</v>
      </c>
      <c r="K41" s="40">
        <f t="shared" si="8"/>
        <v>2.1168</v>
      </c>
      <c r="L41" s="41">
        <f t="shared" si="9"/>
        <v>13.876800000000001</v>
      </c>
    </row>
    <row r="42" spans="1:12" x14ac:dyDescent="0.3">
      <c r="A42" s="12"/>
      <c r="B42" s="12" t="s">
        <v>60</v>
      </c>
      <c r="C42" s="14" t="s">
        <v>61</v>
      </c>
      <c r="D42" s="14" t="s">
        <v>62</v>
      </c>
      <c r="E42" s="14">
        <f>0.1</f>
        <v>0.1</v>
      </c>
      <c r="F42" s="41">
        <f>E42*F11</f>
        <v>0.1</v>
      </c>
      <c r="G42" s="14">
        <v>54</v>
      </c>
      <c r="H42" s="37">
        <f>E42*G42</f>
        <v>5.4</v>
      </c>
      <c r="I42" s="38">
        <f>F42*G42</f>
        <v>5.4</v>
      </c>
      <c r="J42" s="39">
        <v>0.18</v>
      </c>
      <c r="K42" s="40">
        <f>I42*J42</f>
        <v>0.97199999999999998</v>
      </c>
      <c r="L42" s="41">
        <f t="shared" si="9"/>
        <v>6.3719999999999999</v>
      </c>
    </row>
    <row r="43" spans="1:12" x14ac:dyDescent="0.3">
      <c r="A43" s="12"/>
      <c r="B43" s="12"/>
      <c r="C43" s="14"/>
      <c r="D43" s="14"/>
      <c r="E43" s="14"/>
      <c r="F43" s="41"/>
      <c r="G43" s="14"/>
      <c r="H43" s="50">
        <f>SUM(H14:H42)</f>
        <v>1060.3781250000002</v>
      </c>
      <c r="I43" s="50">
        <f>SUM(I14:I42)</f>
        <v>1046.6281250000002</v>
      </c>
      <c r="J43" s="51"/>
      <c r="K43" s="52">
        <f>SUM(K14:K42)</f>
        <v>143.99366249999994</v>
      </c>
      <c r="L43" s="53">
        <f>SUM(L14:L42)</f>
        <v>1190.6217875000002</v>
      </c>
    </row>
    <row r="44" spans="1:12" x14ac:dyDescent="0.3">
      <c r="A44" s="12" t="s">
        <v>63</v>
      </c>
      <c r="B44" s="12" t="s">
        <v>64</v>
      </c>
      <c r="C44" s="15"/>
      <c r="D44" s="14" t="s">
        <v>43</v>
      </c>
      <c r="E44" s="14">
        <f>C44*1%</f>
        <v>0</v>
      </c>
      <c r="F44" s="41">
        <f>F11</f>
        <v>1</v>
      </c>
      <c r="G44" s="14">
        <f>E44</f>
        <v>0</v>
      </c>
      <c r="H44" s="38">
        <f>G44</f>
        <v>0</v>
      </c>
      <c r="I44" s="38">
        <f>H44*F44</f>
        <v>0</v>
      </c>
      <c r="J44" s="39">
        <v>0.18</v>
      </c>
      <c r="K44" s="40">
        <f t="shared" ref="K44:K52" si="10">I44*J44</f>
        <v>0</v>
      </c>
      <c r="L44" s="41">
        <f t="shared" ref="L44:L52" si="11">I44+K44</f>
        <v>0</v>
      </c>
    </row>
    <row r="45" spans="1:12" x14ac:dyDescent="0.3">
      <c r="A45" s="12"/>
      <c r="B45" s="12" t="s">
        <v>65</v>
      </c>
      <c r="C45" s="15"/>
      <c r="D45" s="14" t="s">
        <v>43</v>
      </c>
      <c r="E45" s="14">
        <f>C45*1%</f>
        <v>0</v>
      </c>
      <c r="F45" s="41">
        <f>F11</f>
        <v>1</v>
      </c>
      <c r="G45" s="14">
        <f>E45</f>
        <v>0</v>
      </c>
      <c r="H45" s="38">
        <f>G45</f>
        <v>0</v>
      </c>
      <c r="I45" s="38">
        <f>H45*F45</f>
        <v>0</v>
      </c>
      <c r="J45" s="39">
        <v>0.18</v>
      </c>
      <c r="K45" s="40">
        <f t="shared" si="10"/>
        <v>0</v>
      </c>
      <c r="L45" s="41">
        <f t="shared" si="11"/>
        <v>0</v>
      </c>
    </row>
    <row r="46" spans="1:12" x14ac:dyDescent="0.3">
      <c r="A46" s="12"/>
      <c r="B46" s="12" t="s">
        <v>66</v>
      </c>
      <c r="C46" s="15"/>
      <c r="D46" s="14" t="s">
        <v>43</v>
      </c>
      <c r="E46" s="14">
        <f>C46*5%</f>
        <v>0</v>
      </c>
      <c r="F46" s="41">
        <f>F11</f>
        <v>1</v>
      </c>
      <c r="G46" s="14">
        <f t="shared" ref="G46:G51" si="12">E46</f>
        <v>0</v>
      </c>
      <c r="H46" s="38">
        <f t="shared" ref="H46:H51" si="13">G46</f>
        <v>0</v>
      </c>
      <c r="I46" s="38">
        <f>H46*F46</f>
        <v>0</v>
      </c>
      <c r="J46" s="39"/>
      <c r="K46" s="40">
        <f t="shared" si="10"/>
        <v>0</v>
      </c>
      <c r="L46" s="41">
        <f t="shared" si="11"/>
        <v>0</v>
      </c>
    </row>
    <row r="47" spans="1:12" x14ac:dyDescent="0.3">
      <c r="A47" s="12"/>
      <c r="B47" s="12" t="s">
        <v>67</v>
      </c>
      <c r="C47" s="15"/>
      <c r="D47" s="14" t="s">
        <v>43</v>
      </c>
      <c r="E47" s="14">
        <f>C47*7%</f>
        <v>0</v>
      </c>
      <c r="F47" s="41">
        <f>F11</f>
        <v>1</v>
      </c>
      <c r="G47" s="14">
        <f t="shared" si="12"/>
        <v>0</v>
      </c>
      <c r="H47" s="38">
        <f t="shared" si="13"/>
        <v>0</v>
      </c>
      <c r="I47" s="38">
        <f>H47*F47</f>
        <v>0</v>
      </c>
      <c r="J47" s="12"/>
      <c r="K47" s="40">
        <f t="shared" si="10"/>
        <v>0</v>
      </c>
      <c r="L47" s="41">
        <f t="shared" si="11"/>
        <v>0</v>
      </c>
    </row>
    <row r="48" spans="1:12" x14ac:dyDescent="0.3">
      <c r="A48" s="9" t="s">
        <v>68</v>
      </c>
      <c r="B48" s="12" t="s">
        <v>69</v>
      </c>
      <c r="C48" s="15"/>
      <c r="D48" s="14" t="s">
        <v>43</v>
      </c>
      <c r="E48" s="14">
        <f>C48*2.5%</f>
        <v>0</v>
      </c>
      <c r="F48" s="41">
        <f>F11</f>
        <v>1</v>
      </c>
      <c r="G48" s="14">
        <f t="shared" si="12"/>
        <v>0</v>
      </c>
      <c r="H48" s="38">
        <f t="shared" si="13"/>
        <v>0</v>
      </c>
      <c r="I48" s="38">
        <f t="shared" ref="I48:I52" si="14">H48*F48</f>
        <v>0</v>
      </c>
      <c r="J48" s="12"/>
      <c r="K48" s="40">
        <f t="shared" si="10"/>
        <v>0</v>
      </c>
      <c r="L48" s="41">
        <f t="shared" si="11"/>
        <v>0</v>
      </c>
    </row>
    <row r="49" spans="1:12" x14ac:dyDescent="0.3">
      <c r="A49" s="12"/>
      <c r="B49" s="12" t="s">
        <v>70</v>
      </c>
      <c r="C49" s="15"/>
      <c r="D49" s="14" t="s">
        <v>43</v>
      </c>
      <c r="E49" s="14">
        <f>C49*2%</f>
        <v>0</v>
      </c>
      <c r="F49" s="41">
        <f>F11</f>
        <v>1</v>
      </c>
      <c r="G49" s="14">
        <f t="shared" si="12"/>
        <v>0</v>
      </c>
      <c r="H49" s="38">
        <f t="shared" si="13"/>
        <v>0</v>
      </c>
      <c r="I49" s="38">
        <f t="shared" si="14"/>
        <v>0</v>
      </c>
      <c r="J49" s="12"/>
      <c r="K49" s="40">
        <f t="shared" si="10"/>
        <v>0</v>
      </c>
      <c r="L49" s="41">
        <f t="shared" si="11"/>
        <v>0</v>
      </c>
    </row>
    <row r="50" spans="1:12" x14ac:dyDescent="0.3">
      <c r="A50" s="12"/>
      <c r="B50" s="12" t="s">
        <v>71</v>
      </c>
      <c r="C50" s="15"/>
      <c r="D50" s="14" t="s">
        <v>43</v>
      </c>
      <c r="E50" s="14">
        <v>1200</v>
      </c>
      <c r="F50" s="41">
        <f>F11</f>
        <v>1</v>
      </c>
      <c r="G50" s="14">
        <f t="shared" si="12"/>
        <v>1200</v>
      </c>
      <c r="H50" s="38">
        <f t="shared" si="13"/>
        <v>1200</v>
      </c>
      <c r="I50" s="38">
        <f t="shared" si="14"/>
        <v>1200</v>
      </c>
      <c r="J50" s="12"/>
      <c r="K50" s="40">
        <f t="shared" si="10"/>
        <v>0</v>
      </c>
      <c r="L50" s="41">
        <f t="shared" si="11"/>
        <v>1200</v>
      </c>
    </row>
    <row r="51" spans="1:12" x14ac:dyDescent="0.3">
      <c r="A51" s="12"/>
      <c r="B51" s="12" t="s">
        <v>240</v>
      </c>
      <c r="C51" s="15">
        <f>B57</f>
        <v>6290</v>
      </c>
      <c r="D51" s="14" t="s">
        <v>43</v>
      </c>
      <c r="E51" s="14">
        <f>C51*3%</f>
        <v>188.7</v>
      </c>
      <c r="F51" s="41">
        <f>F11</f>
        <v>1</v>
      </c>
      <c r="G51" s="14">
        <f t="shared" si="12"/>
        <v>188.7</v>
      </c>
      <c r="H51" s="38">
        <f t="shared" si="13"/>
        <v>188.7</v>
      </c>
      <c r="I51" s="38">
        <f t="shared" si="14"/>
        <v>188.7</v>
      </c>
      <c r="J51" s="12"/>
      <c r="K51" s="40">
        <f t="shared" si="10"/>
        <v>0</v>
      </c>
      <c r="L51" s="41">
        <f t="shared" si="11"/>
        <v>188.7</v>
      </c>
    </row>
    <row r="52" spans="1:12" x14ac:dyDescent="0.3">
      <c r="A52" s="12" t="s">
        <v>73</v>
      </c>
      <c r="B52" s="54" t="s">
        <v>74</v>
      </c>
      <c r="C52" s="55"/>
      <c r="D52" s="55" t="s">
        <v>43</v>
      </c>
      <c r="E52" s="55">
        <v>420</v>
      </c>
      <c r="F52" s="41">
        <f>F11</f>
        <v>1</v>
      </c>
      <c r="G52" s="55">
        <v>420</v>
      </c>
      <c r="H52" s="56">
        <v>420</v>
      </c>
      <c r="I52" s="38">
        <f t="shared" si="14"/>
        <v>420</v>
      </c>
      <c r="J52" s="54"/>
      <c r="K52" s="57">
        <f t="shared" si="10"/>
        <v>0</v>
      </c>
      <c r="L52" s="58">
        <f t="shared" si="11"/>
        <v>420</v>
      </c>
    </row>
    <row r="53" spans="1:12" x14ac:dyDescent="0.3">
      <c r="A53" s="2"/>
      <c r="B53" s="2"/>
      <c r="C53" s="1"/>
      <c r="D53" s="1"/>
      <c r="E53" s="1"/>
      <c r="F53" s="59">
        <f>F11</f>
        <v>1</v>
      </c>
      <c r="G53" s="1"/>
      <c r="H53" s="59">
        <f>SUM(H43:H52)</f>
        <v>2869.078125</v>
      </c>
      <c r="I53" s="59">
        <f>SUM(I43:I52)</f>
        <v>2855.328125</v>
      </c>
      <c r="J53" s="60"/>
      <c r="K53" s="59">
        <f>SUM(K43:K52)</f>
        <v>143.99366249999994</v>
      </c>
      <c r="L53" s="59">
        <f>SUM(L43:L52)</f>
        <v>2999.3217875</v>
      </c>
    </row>
    <row r="54" spans="1:12" x14ac:dyDescent="0.3">
      <c r="A54" s="2"/>
      <c r="B54" s="2"/>
      <c r="C54" s="1"/>
      <c r="D54" s="1"/>
      <c r="E54" s="1"/>
      <c r="F54" s="2"/>
      <c r="G54" s="1"/>
      <c r="H54" s="61"/>
      <c r="I54" s="61"/>
    </row>
    <row r="55" spans="1:12" ht="46.2" customHeight="1" x14ac:dyDescent="0.3">
      <c r="A55" s="2"/>
      <c r="B55" s="2"/>
      <c r="C55" s="1"/>
      <c r="D55" s="1"/>
      <c r="E55" s="1"/>
      <c r="F55" s="2"/>
      <c r="G55" s="62" t="s">
        <v>75</v>
      </c>
      <c r="H55" s="2"/>
      <c r="I55" s="2"/>
      <c r="J55" s="2"/>
      <c r="K55" s="61"/>
      <c r="L55" s="2"/>
    </row>
    <row r="56" spans="1:12" ht="18" x14ac:dyDescent="0.35">
      <c r="A56" s="63" t="s">
        <v>76</v>
      </c>
      <c r="B56" s="64">
        <v>74</v>
      </c>
      <c r="C56" s="122" t="s">
        <v>77</v>
      </c>
      <c r="D56" s="122"/>
      <c r="E56" s="122"/>
      <c r="F56" s="122"/>
      <c r="G56" s="65">
        <f>G12</f>
        <v>3439</v>
      </c>
      <c r="H56" s="1"/>
      <c r="I56" s="1"/>
      <c r="J56" s="2"/>
      <c r="K56" s="2"/>
      <c r="L56" s="2"/>
    </row>
    <row r="57" spans="1:12" ht="18" x14ac:dyDescent="0.35">
      <c r="A57" s="63">
        <v>85</v>
      </c>
      <c r="B57" s="63">
        <f>B56*A57</f>
        <v>6290</v>
      </c>
      <c r="C57" s="122" t="s">
        <v>78</v>
      </c>
      <c r="D57" s="122"/>
      <c r="E57" s="122"/>
      <c r="F57" s="122"/>
      <c r="G57" s="65">
        <f>I53/F11</f>
        <v>2855.328125</v>
      </c>
      <c r="H57" s="1"/>
      <c r="I57" s="1"/>
      <c r="J57" s="2"/>
      <c r="K57" s="2"/>
      <c r="L57" s="2"/>
    </row>
    <row r="58" spans="1:12" x14ac:dyDescent="0.3">
      <c r="A58" s="2"/>
      <c r="B58" s="2"/>
      <c r="C58" s="130" t="s">
        <v>79</v>
      </c>
      <c r="D58" s="130"/>
      <c r="E58" s="130"/>
      <c r="F58" s="130"/>
      <c r="G58" s="67">
        <f>SUM(G56:G57)</f>
        <v>6294.328125</v>
      </c>
      <c r="H58" s="1"/>
      <c r="I58" s="1"/>
      <c r="J58" s="2"/>
      <c r="K58" s="2"/>
      <c r="L58" s="2"/>
    </row>
    <row r="59" spans="1:12" ht="18" x14ac:dyDescent="0.35">
      <c r="A59" s="63" t="s">
        <v>76</v>
      </c>
      <c r="B59" s="64">
        <f>H60</f>
        <v>66.256085526315786</v>
      </c>
      <c r="C59" s="2"/>
      <c r="G59" s="1"/>
      <c r="H59" s="1"/>
      <c r="I59" s="1"/>
      <c r="J59" s="2"/>
      <c r="K59" s="2"/>
      <c r="L59" s="2"/>
    </row>
    <row r="60" spans="1:12" ht="18" x14ac:dyDescent="0.35">
      <c r="A60" s="63">
        <v>95</v>
      </c>
      <c r="B60" s="64">
        <f>B59*A60</f>
        <v>6294.328125</v>
      </c>
      <c r="C60" s="2"/>
      <c r="G60" s="68">
        <f>G58/A57</f>
        <v>74.050919117647055</v>
      </c>
      <c r="H60" s="69">
        <f>G58/A60</f>
        <v>66.256085526315786</v>
      </c>
      <c r="I60" s="1"/>
      <c r="J60" s="2"/>
      <c r="K60" s="2"/>
      <c r="L60" s="2"/>
    </row>
    <row r="61" spans="1:12" x14ac:dyDescent="0.3">
      <c r="A61" s="2"/>
      <c r="D61" s="70" t="s">
        <v>80</v>
      </c>
      <c r="E61" s="1"/>
      <c r="F61" s="71"/>
      <c r="G61" s="71"/>
      <c r="H61" s="1"/>
      <c r="I61" s="1"/>
      <c r="J61" s="2"/>
      <c r="K61" s="2"/>
      <c r="L61" s="2"/>
    </row>
    <row r="62" spans="1:12" ht="14.4" customHeight="1" x14ac:dyDescent="0.3">
      <c r="A62" s="2"/>
      <c r="D62" s="72" t="s">
        <v>81</v>
      </c>
      <c r="E62" s="73">
        <f>I53/F53</f>
        <v>2855.328125</v>
      </c>
      <c r="F62" s="74" t="s">
        <v>20</v>
      </c>
      <c r="G62" s="71"/>
      <c r="H62" s="1"/>
      <c r="I62" s="1"/>
      <c r="J62" s="2"/>
      <c r="K62" s="2"/>
      <c r="L62" s="2"/>
    </row>
    <row r="63" spans="1:12" ht="14.4" customHeight="1" x14ac:dyDescent="0.3">
      <c r="A63" s="2"/>
      <c r="C63" s="2"/>
      <c r="D63" s="72" t="s">
        <v>21</v>
      </c>
      <c r="E63" s="73">
        <f>L53/F53</f>
        <v>2999.3217875</v>
      </c>
      <c r="F63" s="74" t="s">
        <v>20</v>
      </c>
      <c r="G63" s="71"/>
      <c r="H63" s="1"/>
      <c r="I63" s="1"/>
      <c r="J63" s="2"/>
      <c r="K63" s="2"/>
      <c r="L63" s="2"/>
    </row>
    <row r="64" spans="1:12" ht="14.4" customHeight="1" x14ac:dyDescent="0.3">
      <c r="A64" s="2"/>
      <c r="C64" s="1"/>
      <c r="D64" s="76"/>
      <c r="E64" s="71"/>
      <c r="F64" s="71"/>
      <c r="G64" s="1"/>
      <c r="H64" s="2"/>
      <c r="I64" s="2"/>
      <c r="J64" s="2"/>
      <c r="K64" s="2"/>
      <c r="L64" s="2"/>
    </row>
    <row r="65" spans="2:6" x14ac:dyDescent="0.3">
      <c r="D65" s="77" t="s">
        <v>21</v>
      </c>
      <c r="E65" s="78"/>
      <c r="F65" s="79" t="s">
        <v>19</v>
      </c>
    </row>
    <row r="66" spans="2:6" x14ac:dyDescent="0.3">
      <c r="B66" s="122" t="s">
        <v>82</v>
      </c>
      <c r="C66" s="122"/>
      <c r="D66" s="65">
        <f>G13</f>
        <v>3851.68</v>
      </c>
      <c r="E66" s="75"/>
      <c r="F66" s="80">
        <f>G12</f>
        <v>3439</v>
      </c>
    </row>
    <row r="67" spans="2:6" x14ac:dyDescent="0.3">
      <c r="B67" s="124" t="s">
        <v>83</v>
      </c>
      <c r="C67" s="125"/>
      <c r="D67" s="65">
        <f>E63</f>
        <v>2999.3217875</v>
      </c>
      <c r="E67" s="75"/>
      <c r="F67" s="80">
        <f>E62</f>
        <v>2855.328125</v>
      </c>
    </row>
    <row r="68" spans="2:6" x14ac:dyDescent="0.3">
      <c r="B68" s="66" t="s">
        <v>79</v>
      </c>
      <c r="C68" s="66"/>
      <c r="D68" s="67">
        <f>SUM(D66:D67)</f>
        <v>6851.0017874999994</v>
      </c>
      <c r="E68" s="78"/>
      <c r="F68" s="81">
        <f>SUM(F66:F67)</f>
        <v>6294.328125</v>
      </c>
    </row>
    <row r="69" spans="2:6" x14ac:dyDescent="0.3">
      <c r="D69" s="82"/>
      <c r="E69" s="1"/>
      <c r="F69" s="71"/>
    </row>
    <row r="70" spans="2:6" x14ac:dyDescent="0.3">
      <c r="D70" s="68">
        <f>D68/A57</f>
        <v>80.600021029411764</v>
      </c>
      <c r="E70" s="1"/>
      <c r="F70" s="68">
        <f>F68/A57</f>
        <v>74.050919117647055</v>
      </c>
    </row>
    <row r="77" spans="2:6" x14ac:dyDescent="0.3">
      <c r="D77" s="43"/>
    </row>
    <row r="78" spans="2:6" x14ac:dyDescent="0.3">
      <c r="D78" s="43"/>
    </row>
    <row r="79" spans="2:6" x14ac:dyDescent="0.3">
      <c r="D79" s="43"/>
    </row>
    <row r="80" spans="2:6" x14ac:dyDescent="0.3">
      <c r="D80" s="43"/>
    </row>
    <row r="81" spans="4:4" x14ac:dyDescent="0.3">
      <c r="D81" s="43"/>
    </row>
  </sheetData>
  <mergeCells count="13">
    <mergeCell ref="L7:L8"/>
    <mergeCell ref="A1:F1"/>
    <mergeCell ref="A2:F2"/>
    <mergeCell ref="A3:F3"/>
    <mergeCell ref="A5:F5"/>
    <mergeCell ref="J7:K7"/>
    <mergeCell ref="B66:C66"/>
    <mergeCell ref="B67:C67"/>
    <mergeCell ref="D12:E12"/>
    <mergeCell ref="D13:E13"/>
    <mergeCell ref="C56:F56"/>
    <mergeCell ref="C57:F57"/>
    <mergeCell ref="C58:F58"/>
  </mergeCells>
  <pageMargins left="0.11811023622047245" right="0.11811023622047245" top="0.15748031496062992" bottom="0.15748031496062992" header="0.31496062992125984" footer="0.31496062992125984"/>
  <pageSetup paperSize="9" scale="85" orientation="landscape" verticalDpi="0" r:id="rId1"/>
  <ignoredErrors>
    <ignoredError sqref="I39 K43:L43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1AA29-C75F-4A0B-BB54-4BB14DCE721F}">
  <dimension ref="A1:P83"/>
  <sheetViews>
    <sheetView workbookViewId="0">
      <selection sqref="A1:N72"/>
    </sheetView>
  </sheetViews>
  <sheetFormatPr defaultRowHeight="14.4" x14ac:dyDescent="0.3"/>
  <cols>
    <col min="1" max="1" width="9.6640625" bestFit="1" customWidth="1"/>
    <col min="2" max="2" width="41.21875" bestFit="1" customWidth="1"/>
    <col min="3" max="3" width="15" bestFit="1" customWidth="1"/>
    <col min="4" max="4" width="10.33203125" bestFit="1" customWidth="1"/>
    <col min="5" max="5" width="7.5546875" bestFit="1" customWidth="1"/>
    <col min="6" max="6" width="8.5546875" bestFit="1" customWidth="1"/>
    <col min="7" max="7" width="9.109375" style="43" bestFit="1" customWidth="1"/>
    <col min="8" max="8" width="8" bestFit="1" customWidth="1"/>
    <col min="9" max="9" width="10.44140625" bestFit="1" customWidth="1"/>
    <col min="10" max="10" width="5.44140625" bestFit="1" customWidth="1"/>
    <col min="11" max="11" width="9.44140625" bestFit="1" customWidth="1"/>
    <col min="12" max="12" width="10.44140625" bestFit="1" customWidth="1"/>
    <col min="13" max="13" width="5" bestFit="1" customWidth="1"/>
    <col min="14" max="14" width="7" bestFit="1" customWidth="1"/>
  </cols>
  <sheetData>
    <row r="1" spans="1:12" x14ac:dyDescent="0.3">
      <c r="A1" s="114" t="s">
        <v>0</v>
      </c>
      <c r="B1" s="115"/>
      <c r="C1" s="115"/>
      <c r="D1" s="115"/>
      <c r="E1" s="115"/>
      <c r="F1" s="115"/>
      <c r="G1" s="1"/>
      <c r="H1" s="2"/>
      <c r="I1" s="2"/>
      <c r="J1" s="2"/>
      <c r="K1" s="2"/>
      <c r="L1" s="2"/>
    </row>
    <row r="2" spans="1:12" x14ac:dyDescent="0.3">
      <c r="A2" s="114" t="s">
        <v>1</v>
      </c>
      <c r="B2" s="115"/>
      <c r="C2" s="115"/>
      <c r="D2" s="115"/>
      <c r="E2" s="115"/>
      <c r="F2" s="115"/>
      <c r="G2" s="1"/>
      <c r="H2" s="2"/>
      <c r="I2" s="2"/>
      <c r="J2" s="2"/>
      <c r="K2" s="2"/>
      <c r="L2" s="2"/>
    </row>
    <row r="3" spans="1:12" ht="18" x14ac:dyDescent="0.35">
      <c r="A3" s="116" t="s">
        <v>236</v>
      </c>
      <c r="B3" s="116"/>
      <c r="C3" s="116"/>
      <c r="D3" s="116"/>
      <c r="E3" s="116"/>
      <c r="F3" s="116"/>
      <c r="G3" s="3"/>
      <c r="H3" s="4"/>
      <c r="I3" s="4"/>
      <c r="J3" s="4"/>
      <c r="K3" s="4"/>
      <c r="L3" s="4"/>
    </row>
    <row r="4" spans="1:12" x14ac:dyDescent="0.3">
      <c r="G4" s="1"/>
      <c r="H4" s="2"/>
      <c r="I4" s="2"/>
      <c r="J4" s="2"/>
      <c r="K4" s="2"/>
      <c r="L4" s="2"/>
    </row>
    <row r="5" spans="1:12" ht="21" x14ac:dyDescent="0.4">
      <c r="A5" s="128" t="s">
        <v>2</v>
      </c>
      <c r="B5" s="129"/>
      <c r="C5" s="129"/>
      <c r="D5" s="129"/>
      <c r="E5" s="129"/>
      <c r="F5" s="129"/>
      <c r="G5" s="1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1"/>
      <c r="H6" s="2"/>
      <c r="I6" s="2"/>
      <c r="J6" s="2"/>
      <c r="K6" s="2"/>
      <c r="L6" s="2"/>
    </row>
    <row r="7" spans="1:12" ht="24" x14ac:dyDescent="0.3">
      <c r="A7" s="5" t="s">
        <v>3</v>
      </c>
      <c r="B7" s="6" t="s">
        <v>4</v>
      </c>
      <c r="C7" s="7" t="s">
        <v>5</v>
      </c>
      <c r="D7" s="7" t="s">
        <v>6</v>
      </c>
      <c r="E7" s="7" t="s">
        <v>7</v>
      </c>
      <c r="F7" s="6" t="s">
        <v>8</v>
      </c>
      <c r="G7" s="7" t="s">
        <v>9</v>
      </c>
      <c r="H7" s="8" t="s">
        <v>10</v>
      </c>
      <c r="I7" s="7" t="s">
        <v>11</v>
      </c>
      <c r="J7" s="117" t="s">
        <v>12</v>
      </c>
      <c r="K7" s="118"/>
      <c r="L7" s="119" t="s">
        <v>13</v>
      </c>
    </row>
    <row r="8" spans="1:12" x14ac:dyDescent="0.3">
      <c r="A8" s="9" t="s">
        <v>14</v>
      </c>
      <c r="B8" s="9"/>
      <c r="C8" s="10"/>
      <c r="D8" s="10"/>
      <c r="E8" s="10"/>
      <c r="F8" s="9"/>
      <c r="G8" s="10"/>
      <c r="H8" s="10"/>
      <c r="I8" s="10"/>
      <c r="J8" s="10" t="s">
        <v>15</v>
      </c>
      <c r="K8" s="11" t="s">
        <v>11</v>
      </c>
      <c r="L8" s="119"/>
    </row>
    <row r="9" spans="1:12" x14ac:dyDescent="0.3">
      <c r="A9" s="12"/>
      <c r="B9" s="13"/>
      <c r="C9" s="111"/>
      <c r="D9" s="14" t="s">
        <v>17</v>
      </c>
      <c r="E9" s="15">
        <v>140</v>
      </c>
      <c r="F9" s="15">
        <f>E9*F13</f>
        <v>140</v>
      </c>
      <c r="G9" s="14">
        <v>9.5</v>
      </c>
      <c r="H9" s="16">
        <f>F9*G9</f>
        <v>1330</v>
      </c>
      <c r="I9" s="17">
        <f>F9*G9</f>
        <v>1330</v>
      </c>
      <c r="J9" s="18">
        <v>0.12</v>
      </c>
      <c r="K9" s="19">
        <f>I9*J9</f>
        <v>159.6</v>
      </c>
      <c r="L9" s="15">
        <f>I9+K9</f>
        <v>1489.6</v>
      </c>
    </row>
    <row r="10" spans="1:12" x14ac:dyDescent="0.3">
      <c r="A10" s="12"/>
      <c r="B10" s="13" t="s">
        <v>232</v>
      </c>
      <c r="C10" s="20" t="s">
        <v>233</v>
      </c>
      <c r="D10" s="14"/>
      <c r="E10" s="15"/>
      <c r="F10" s="15"/>
      <c r="G10" s="14"/>
      <c r="H10" s="16"/>
      <c r="I10" s="17"/>
      <c r="J10" s="18"/>
      <c r="K10" s="19"/>
      <c r="L10" s="15"/>
    </row>
    <row r="11" spans="1:12" x14ac:dyDescent="0.3">
      <c r="A11" s="12"/>
      <c r="B11" s="13"/>
      <c r="C11" s="20"/>
      <c r="D11" s="14"/>
      <c r="E11" s="15"/>
      <c r="F11" s="15"/>
      <c r="G11" s="14"/>
      <c r="H11" s="16"/>
      <c r="I11" s="17"/>
      <c r="J11" s="18"/>
      <c r="K11" s="19"/>
      <c r="L11" s="15"/>
    </row>
    <row r="12" spans="1:12" x14ac:dyDescent="0.3">
      <c r="A12" s="12"/>
      <c r="B12" s="13"/>
      <c r="C12" s="20"/>
      <c r="D12" s="14"/>
      <c r="E12" s="15"/>
      <c r="F12" s="15"/>
      <c r="G12" s="14"/>
      <c r="H12" s="16"/>
      <c r="I12" s="17"/>
      <c r="J12" s="18"/>
      <c r="K12" s="19"/>
      <c r="L12" s="15"/>
    </row>
    <row r="13" spans="1:12" ht="18" x14ac:dyDescent="0.3">
      <c r="A13" s="21"/>
      <c r="B13" s="13" t="s">
        <v>237</v>
      </c>
      <c r="C13" s="22"/>
      <c r="D13" s="22"/>
      <c r="E13" s="23"/>
      <c r="F13" s="24">
        <v>1</v>
      </c>
      <c r="G13" s="23"/>
      <c r="H13" s="25">
        <f>SUM(H9:H10)</f>
        <v>1330</v>
      </c>
      <c r="I13" s="26">
        <f>SUM(I9:I10)</f>
        <v>1330</v>
      </c>
      <c r="J13" s="27"/>
      <c r="K13" s="28">
        <f>SUM(K9:K10)</f>
        <v>159.6</v>
      </c>
      <c r="L13" s="29">
        <f>SUM(L9:L10)</f>
        <v>1489.6</v>
      </c>
    </row>
    <row r="14" spans="1:12" x14ac:dyDescent="0.3">
      <c r="A14" s="21"/>
      <c r="B14" s="21"/>
      <c r="C14" s="23"/>
      <c r="D14" s="30"/>
      <c r="E14" s="31"/>
      <c r="F14" s="32"/>
      <c r="G14" s="23"/>
      <c r="H14" s="25"/>
      <c r="I14" s="26"/>
      <c r="J14" s="27"/>
      <c r="K14" s="28"/>
      <c r="L14" s="29"/>
    </row>
    <row r="15" spans="1:12" x14ac:dyDescent="0.3">
      <c r="A15" s="12"/>
      <c r="B15" s="12"/>
      <c r="C15" s="14"/>
      <c r="D15" s="120" t="s">
        <v>19</v>
      </c>
      <c r="E15" s="121"/>
      <c r="F15" s="35" t="s">
        <v>20</v>
      </c>
      <c r="G15" s="36">
        <f>I13/F13</f>
        <v>1330</v>
      </c>
      <c r="H15" s="37"/>
      <c r="I15" s="38"/>
      <c r="J15" s="39"/>
      <c r="K15" s="40"/>
      <c r="L15" s="41"/>
    </row>
    <row r="16" spans="1:12" x14ac:dyDescent="0.3">
      <c r="A16" s="12"/>
      <c r="B16" s="12"/>
      <c r="C16" s="14"/>
      <c r="D16" s="120" t="s">
        <v>21</v>
      </c>
      <c r="E16" s="121"/>
      <c r="F16" s="35" t="s">
        <v>20</v>
      </c>
      <c r="G16" s="36">
        <f>L13/F13</f>
        <v>1489.6</v>
      </c>
      <c r="H16" s="37"/>
      <c r="I16" s="38"/>
      <c r="J16" s="39"/>
      <c r="K16" s="40"/>
      <c r="L16" s="41"/>
    </row>
    <row r="17" spans="1:16" x14ac:dyDescent="0.3">
      <c r="A17" s="12"/>
      <c r="B17" s="12"/>
      <c r="C17" s="14"/>
      <c r="D17" s="33"/>
      <c r="E17" s="34"/>
      <c r="F17" s="35"/>
      <c r="G17" s="36"/>
      <c r="H17" s="37"/>
      <c r="I17" s="38"/>
      <c r="J17" s="39"/>
      <c r="K17" s="40"/>
      <c r="L17" s="41"/>
    </row>
    <row r="18" spans="1:16" x14ac:dyDescent="0.3">
      <c r="A18" s="9" t="s">
        <v>22</v>
      </c>
      <c r="B18" s="42" t="s">
        <v>23</v>
      </c>
      <c r="C18" s="14">
        <f>C9</f>
        <v>0</v>
      </c>
      <c r="D18" s="14" t="s">
        <v>24</v>
      </c>
      <c r="E18" s="14">
        <v>2.6</v>
      </c>
      <c r="F18" s="41">
        <f>E18*F13</f>
        <v>2.6</v>
      </c>
      <c r="G18" s="14">
        <v>52</v>
      </c>
      <c r="H18" s="37">
        <f>E18*G18</f>
        <v>135.20000000000002</v>
      </c>
      <c r="I18" s="38">
        <f>F18*G18</f>
        <v>135.20000000000002</v>
      </c>
      <c r="J18" s="39">
        <v>0.12</v>
      </c>
      <c r="K18" s="40">
        <f t="shared" ref="K18:K23" si="0">I18*J18</f>
        <v>16.224</v>
      </c>
      <c r="L18" s="41">
        <f t="shared" ref="L18:L23" si="1">I18+K18</f>
        <v>151.42400000000001</v>
      </c>
      <c r="P18">
        <v>70</v>
      </c>
    </row>
    <row r="19" spans="1:16" x14ac:dyDescent="0.3">
      <c r="A19" s="9"/>
      <c r="B19" s="42" t="s">
        <v>25</v>
      </c>
      <c r="C19" s="14" t="str">
        <f>C10</f>
        <v xml:space="preserve">9 DARK BLUE </v>
      </c>
      <c r="D19" s="14" t="s">
        <v>24</v>
      </c>
      <c r="E19" s="14">
        <v>0.12</v>
      </c>
      <c r="F19" s="41">
        <f>E19*F13</f>
        <v>0.12</v>
      </c>
      <c r="G19" s="14">
        <v>400</v>
      </c>
      <c r="H19" s="37">
        <f>E19*G19</f>
        <v>48</v>
      </c>
      <c r="I19" s="38">
        <f>F19*G19</f>
        <v>48</v>
      </c>
      <c r="J19" s="39">
        <v>0.12</v>
      </c>
      <c r="K19" s="40">
        <f t="shared" si="0"/>
        <v>5.76</v>
      </c>
      <c r="L19" s="41">
        <f t="shared" si="1"/>
        <v>53.76</v>
      </c>
      <c r="P19">
        <v>60</v>
      </c>
    </row>
    <row r="20" spans="1:16" x14ac:dyDescent="0.3">
      <c r="A20" s="9"/>
      <c r="B20" s="42" t="s">
        <v>238</v>
      </c>
      <c r="C20" s="14">
        <f>C11</f>
        <v>0</v>
      </c>
      <c r="D20" s="14" t="s">
        <v>24</v>
      </c>
      <c r="E20" s="14">
        <v>1</v>
      </c>
      <c r="F20" s="41">
        <f>F13*E20</f>
        <v>1</v>
      </c>
      <c r="G20" s="14">
        <v>400</v>
      </c>
      <c r="H20" s="37">
        <f>E20*G20</f>
        <v>400</v>
      </c>
      <c r="I20" s="38">
        <f>F20*G20</f>
        <v>400</v>
      </c>
      <c r="J20" s="39">
        <v>0.12</v>
      </c>
      <c r="K20" s="40">
        <f t="shared" si="0"/>
        <v>48</v>
      </c>
      <c r="L20" s="41">
        <f t="shared" si="1"/>
        <v>448</v>
      </c>
      <c r="P20">
        <v>60</v>
      </c>
    </row>
    <row r="21" spans="1:16" x14ac:dyDescent="0.3">
      <c r="A21" s="9" t="s">
        <v>26</v>
      </c>
      <c r="B21" s="12" t="s">
        <v>27</v>
      </c>
      <c r="C21" s="14">
        <f>C9</f>
        <v>0</v>
      </c>
      <c r="D21" s="14" t="s">
        <v>28</v>
      </c>
      <c r="E21" s="14">
        <v>100</v>
      </c>
      <c r="F21" s="41">
        <f>E21*F13</f>
        <v>100</v>
      </c>
      <c r="G21" s="14">
        <v>125</v>
      </c>
      <c r="H21" s="37">
        <f>F21/1000*G21/F13</f>
        <v>12.5</v>
      </c>
      <c r="I21" s="38">
        <f>F21/1000*G21</f>
        <v>12.5</v>
      </c>
      <c r="J21" s="39">
        <v>0.12</v>
      </c>
      <c r="K21" s="40">
        <f t="shared" si="0"/>
        <v>1.5</v>
      </c>
      <c r="L21" s="41">
        <f t="shared" si="1"/>
        <v>14</v>
      </c>
      <c r="P21">
        <f>SUM(P18:P20)</f>
        <v>190</v>
      </c>
    </row>
    <row r="22" spans="1:16" x14ac:dyDescent="0.3">
      <c r="A22" s="9"/>
      <c r="B22" s="12" t="s">
        <v>29</v>
      </c>
      <c r="C22" s="14">
        <f>C9</f>
        <v>0</v>
      </c>
      <c r="D22" s="14" t="s">
        <v>28</v>
      </c>
      <c r="E22" s="14">
        <v>100</v>
      </c>
      <c r="F22" s="41">
        <f>E22*F13</f>
        <v>100</v>
      </c>
      <c r="G22" s="14">
        <v>257</v>
      </c>
      <c r="H22" s="37">
        <f>F22/5000*G22/F13</f>
        <v>5.14</v>
      </c>
      <c r="I22" s="38">
        <f>H22*F13</f>
        <v>5.14</v>
      </c>
      <c r="J22" s="39">
        <v>0.12</v>
      </c>
      <c r="K22" s="40">
        <f t="shared" si="0"/>
        <v>0.6167999999999999</v>
      </c>
      <c r="L22" s="41">
        <f t="shared" si="1"/>
        <v>5.7567999999999993</v>
      </c>
      <c r="P22">
        <v>70</v>
      </c>
    </row>
    <row r="23" spans="1:16" x14ac:dyDescent="0.3">
      <c r="A23" s="9"/>
      <c r="B23" s="12" t="s">
        <v>30</v>
      </c>
      <c r="C23" s="14">
        <f>C9</f>
        <v>0</v>
      </c>
      <c r="D23" s="14" t="s">
        <v>28</v>
      </c>
      <c r="E23" s="14">
        <v>50</v>
      </c>
      <c r="F23" s="41">
        <f>E23*F13</f>
        <v>50</v>
      </c>
      <c r="G23" s="14">
        <v>162</v>
      </c>
      <c r="H23" s="37">
        <f>F23/1000*G23/F13</f>
        <v>8.1</v>
      </c>
      <c r="I23" s="38">
        <f>F23/1000*G23</f>
        <v>8.1</v>
      </c>
      <c r="J23" s="39">
        <v>0.12</v>
      </c>
      <c r="K23" s="40">
        <f t="shared" si="0"/>
        <v>0.97199999999999998</v>
      </c>
      <c r="L23" s="41">
        <f t="shared" si="1"/>
        <v>9.0719999999999992</v>
      </c>
    </row>
    <row r="24" spans="1:16" x14ac:dyDescent="0.3">
      <c r="A24" s="9"/>
      <c r="B24" s="12"/>
      <c r="C24" s="14"/>
      <c r="D24" s="14"/>
      <c r="E24" s="14"/>
      <c r="F24" s="41"/>
      <c r="G24" s="14"/>
      <c r="H24" s="37"/>
      <c r="I24" s="38"/>
      <c r="J24" s="39"/>
      <c r="K24" s="40"/>
      <c r="L24" s="41"/>
    </row>
    <row r="25" spans="1:16" x14ac:dyDescent="0.3">
      <c r="A25" s="9" t="s">
        <v>31</v>
      </c>
      <c r="B25" s="12" t="s">
        <v>32</v>
      </c>
      <c r="C25" s="14" t="s">
        <v>33</v>
      </c>
      <c r="D25" s="14" t="s">
        <v>34</v>
      </c>
      <c r="E25" s="14">
        <v>1.5</v>
      </c>
      <c r="F25" s="41">
        <f>E25*F13</f>
        <v>1.5</v>
      </c>
      <c r="G25" s="14">
        <v>16</v>
      </c>
      <c r="H25" s="37">
        <f>E25*G25</f>
        <v>24</v>
      </c>
      <c r="I25" s="38">
        <f>F25*G25</f>
        <v>24</v>
      </c>
      <c r="J25" s="39">
        <v>0.18</v>
      </c>
      <c r="K25" s="40">
        <f>I25*J25</f>
        <v>4.32</v>
      </c>
      <c r="L25" s="41">
        <f>I25+K25</f>
        <v>28.32</v>
      </c>
    </row>
    <row r="26" spans="1:16" x14ac:dyDescent="0.3">
      <c r="A26" s="9"/>
      <c r="B26" s="12" t="s">
        <v>35</v>
      </c>
      <c r="C26" s="14" t="s">
        <v>36</v>
      </c>
      <c r="D26" s="14" t="s">
        <v>37</v>
      </c>
      <c r="E26" s="14">
        <v>0.15</v>
      </c>
      <c r="F26" s="41">
        <f>E26*F13</f>
        <v>0.15</v>
      </c>
      <c r="G26" s="14">
        <v>88</v>
      </c>
      <c r="H26" s="37">
        <f>E26*G26</f>
        <v>13.2</v>
      </c>
      <c r="I26" s="38">
        <f>F26*G26</f>
        <v>13.2</v>
      </c>
      <c r="J26" s="39">
        <v>0.18</v>
      </c>
      <c r="K26" s="40">
        <f>I26*J26</f>
        <v>2.3759999999999999</v>
      </c>
      <c r="L26" s="41">
        <f>I26+K26</f>
        <v>15.575999999999999</v>
      </c>
    </row>
    <row r="27" spans="1:16" x14ac:dyDescent="0.3">
      <c r="A27" s="9"/>
      <c r="B27" s="12" t="s">
        <v>38</v>
      </c>
      <c r="C27" s="14" t="s">
        <v>39</v>
      </c>
      <c r="D27" s="14" t="s">
        <v>34</v>
      </c>
      <c r="E27" s="14">
        <v>3.75</v>
      </c>
      <c r="F27" s="41">
        <f>E27*F13</f>
        <v>3.75</v>
      </c>
      <c r="G27" s="14">
        <v>0.6875</v>
      </c>
      <c r="H27" s="37">
        <f>E27*G27</f>
        <v>2.578125</v>
      </c>
      <c r="I27" s="38">
        <f>F27*G27</f>
        <v>2.578125</v>
      </c>
      <c r="J27" s="39">
        <v>0.18</v>
      </c>
      <c r="K27" s="40">
        <f>I27*J27</f>
        <v>0.46406249999999999</v>
      </c>
      <c r="L27" s="41">
        <f>I27+K27</f>
        <v>3.0421874999999998</v>
      </c>
    </row>
    <row r="28" spans="1:16" x14ac:dyDescent="0.3">
      <c r="A28" s="9"/>
      <c r="B28" s="12"/>
      <c r="C28" s="14"/>
      <c r="D28" s="14"/>
      <c r="E28" s="14"/>
      <c r="F28" s="41"/>
      <c r="G28" s="14"/>
      <c r="H28" s="37"/>
      <c r="I28" s="38"/>
      <c r="J28" s="39"/>
      <c r="K28" s="40"/>
      <c r="L28" s="41"/>
    </row>
    <row r="29" spans="1:16" x14ac:dyDescent="0.3">
      <c r="A29" s="9"/>
      <c r="B29" s="12" t="s">
        <v>239</v>
      </c>
      <c r="C29" s="14" t="s">
        <v>36</v>
      </c>
      <c r="D29" s="14" t="s">
        <v>43</v>
      </c>
      <c r="E29" s="14">
        <v>1</v>
      </c>
      <c r="F29" s="12">
        <f>E29*F13</f>
        <v>1</v>
      </c>
      <c r="G29" s="14">
        <v>200</v>
      </c>
      <c r="H29" s="12">
        <f t="shared" ref="H29:H32" si="2">E29*G29</f>
        <v>200</v>
      </c>
      <c r="I29" s="38">
        <f t="shared" ref="I29:I32" si="3">F29*G29</f>
        <v>200</v>
      </c>
      <c r="J29" s="39">
        <v>0.12</v>
      </c>
      <c r="K29" s="40">
        <f t="shared" ref="K29:K32" si="4">I29*J29</f>
        <v>24</v>
      </c>
      <c r="L29" s="41">
        <f t="shared" ref="L29:L32" si="5">I29+K29</f>
        <v>224</v>
      </c>
      <c r="M29" t="s">
        <v>40</v>
      </c>
    </row>
    <row r="30" spans="1:16" x14ac:dyDescent="0.3">
      <c r="A30" s="12" t="s">
        <v>41</v>
      </c>
      <c r="B30" s="22" t="s">
        <v>234</v>
      </c>
      <c r="C30" s="14" t="s">
        <v>36</v>
      </c>
      <c r="D30" s="14" t="s">
        <v>43</v>
      </c>
      <c r="E30" s="14">
        <v>1</v>
      </c>
      <c r="F30" s="12">
        <f>E30*F13</f>
        <v>1</v>
      </c>
      <c r="G30" s="14">
        <v>65</v>
      </c>
      <c r="H30" s="12">
        <f t="shared" si="2"/>
        <v>65</v>
      </c>
      <c r="I30" s="38">
        <f t="shared" si="3"/>
        <v>65</v>
      </c>
      <c r="J30" s="39">
        <v>0.12</v>
      </c>
      <c r="K30" s="40">
        <f t="shared" si="4"/>
        <v>7.8</v>
      </c>
      <c r="L30" s="41">
        <f t="shared" si="5"/>
        <v>72.8</v>
      </c>
      <c r="M30">
        <v>1.89</v>
      </c>
      <c r="N30">
        <f>M30*85</f>
        <v>160.65</v>
      </c>
    </row>
    <row r="31" spans="1:16" x14ac:dyDescent="0.3">
      <c r="A31" s="12"/>
      <c r="B31" s="22" t="s">
        <v>235</v>
      </c>
      <c r="C31" s="14" t="s">
        <v>36</v>
      </c>
      <c r="D31" s="14" t="s">
        <v>43</v>
      </c>
      <c r="E31" s="14">
        <v>2</v>
      </c>
      <c r="F31" s="12">
        <f>E31*F13</f>
        <v>2</v>
      </c>
      <c r="G31" s="14">
        <v>70</v>
      </c>
      <c r="H31" s="12">
        <f t="shared" si="2"/>
        <v>140</v>
      </c>
      <c r="I31" s="38">
        <f t="shared" si="3"/>
        <v>140</v>
      </c>
      <c r="J31" s="39">
        <v>0.12</v>
      </c>
      <c r="K31" s="40">
        <f t="shared" si="4"/>
        <v>16.8</v>
      </c>
      <c r="L31" s="41">
        <f t="shared" si="5"/>
        <v>156.80000000000001</v>
      </c>
      <c r="O31" s="43"/>
    </row>
    <row r="32" spans="1:16" x14ac:dyDescent="0.3">
      <c r="A32" s="12"/>
      <c r="B32" s="22" t="s">
        <v>44</v>
      </c>
      <c r="C32" s="14" t="s">
        <v>36</v>
      </c>
      <c r="D32" s="14" t="s">
        <v>43</v>
      </c>
      <c r="E32" s="14">
        <v>2</v>
      </c>
      <c r="F32" s="12">
        <f>E32*F13</f>
        <v>2</v>
      </c>
      <c r="G32" s="14">
        <v>18</v>
      </c>
      <c r="H32" s="12">
        <f t="shared" si="2"/>
        <v>36</v>
      </c>
      <c r="I32" s="38">
        <f t="shared" si="3"/>
        <v>36</v>
      </c>
      <c r="J32" s="39">
        <v>0.12</v>
      </c>
      <c r="K32" s="40">
        <f t="shared" si="4"/>
        <v>4.32</v>
      </c>
      <c r="L32" s="41">
        <f t="shared" si="5"/>
        <v>40.32</v>
      </c>
      <c r="M32" s="43"/>
    </row>
    <row r="33" spans="1:12" x14ac:dyDescent="0.3">
      <c r="A33" s="12"/>
      <c r="B33" s="22"/>
      <c r="C33" s="14"/>
      <c r="D33" s="14"/>
      <c r="E33" s="14"/>
      <c r="F33" s="12"/>
      <c r="G33" s="14"/>
      <c r="H33" s="12"/>
      <c r="I33" s="38"/>
      <c r="J33" s="39"/>
      <c r="K33" s="40"/>
      <c r="L33" s="41"/>
    </row>
    <row r="34" spans="1:12" x14ac:dyDescent="0.3">
      <c r="A34" s="12" t="s">
        <v>47</v>
      </c>
      <c r="B34" s="12" t="s">
        <v>48</v>
      </c>
      <c r="C34" s="14" t="s">
        <v>36</v>
      </c>
      <c r="D34" s="14" t="s">
        <v>43</v>
      </c>
      <c r="E34" s="14">
        <v>1</v>
      </c>
      <c r="F34" s="41">
        <f>E34*F13</f>
        <v>1</v>
      </c>
      <c r="G34" s="14">
        <v>12</v>
      </c>
      <c r="H34" s="37">
        <f>E34*G34</f>
        <v>12</v>
      </c>
      <c r="I34" s="38">
        <f>F34*G34</f>
        <v>12</v>
      </c>
      <c r="J34" s="39">
        <v>0.12</v>
      </c>
      <c r="K34" s="40">
        <f>I34*J34</f>
        <v>1.44</v>
      </c>
      <c r="L34" s="41">
        <f>I34+K34</f>
        <v>13.44</v>
      </c>
    </row>
    <row r="35" spans="1:12" x14ac:dyDescent="0.3">
      <c r="A35" s="12"/>
      <c r="B35" s="12" t="s">
        <v>49</v>
      </c>
      <c r="C35" s="14" t="s">
        <v>36</v>
      </c>
      <c r="D35" s="14" t="s">
        <v>43</v>
      </c>
      <c r="E35" s="14">
        <v>1</v>
      </c>
      <c r="F35" s="41">
        <f>E35*F13</f>
        <v>1</v>
      </c>
      <c r="G35" s="14">
        <v>3.5</v>
      </c>
      <c r="H35" s="37">
        <f>E35*G35</f>
        <v>3.5</v>
      </c>
      <c r="I35" s="38">
        <f>F35*G35</f>
        <v>3.5</v>
      </c>
      <c r="J35" s="39">
        <v>0.12</v>
      </c>
      <c r="K35" s="40">
        <f>I35*J35</f>
        <v>0.42</v>
      </c>
      <c r="L35" s="41">
        <f>I35+K35</f>
        <v>3.92</v>
      </c>
    </row>
    <row r="36" spans="1:12" x14ac:dyDescent="0.3">
      <c r="A36" s="9"/>
      <c r="B36" s="12" t="s">
        <v>50</v>
      </c>
      <c r="C36" s="14" t="s">
        <v>36</v>
      </c>
      <c r="D36" s="14" t="s">
        <v>43</v>
      </c>
      <c r="E36" s="14">
        <v>1</v>
      </c>
      <c r="F36" s="41">
        <f>E36*F13</f>
        <v>1</v>
      </c>
      <c r="G36" s="14">
        <v>4</v>
      </c>
      <c r="H36" s="37">
        <v>4</v>
      </c>
      <c r="I36" s="38">
        <f>F36*G36</f>
        <v>4</v>
      </c>
      <c r="J36" s="39">
        <v>0.12</v>
      </c>
      <c r="K36" s="40">
        <f>I36*J36</f>
        <v>0.48</v>
      </c>
      <c r="L36" s="41">
        <f>I36+K36</f>
        <v>4.4800000000000004</v>
      </c>
    </row>
    <row r="37" spans="1:12" x14ac:dyDescent="0.3">
      <c r="A37" s="9"/>
      <c r="B37" s="12"/>
      <c r="C37" s="14"/>
      <c r="D37" s="14"/>
      <c r="E37" s="14"/>
      <c r="F37" s="41"/>
      <c r="G37" s="14"/>
      <c r="H37" s="12"/>
      <c r="I37" s="41"/>
      <c r="J37" s="39"/>
      <c r="K37" s="41"/>
      <c r="L37" s="41"/>
    </row>
    <row r="38" spans="1:12" ht="39.6" x14ac:dyDescent="0.3">
      <c r="A38" s="44" t="s">
        <v>51</v>
      </c>
      <c r="B38" s="21" t="s">
        <v>52</v>
      </c>
      <c r="C38" s="23" t="s">
        <v>36</v>
      </c>
      <c r="D38" s="23" t="s">
        <v>43</v>
      </c>
      <c r="E38" s="23">
        <v>1</v>
      </c>
      <c r="F38" s="45">
        <f>F13*E38</f>
        <v>1</v>
      </c>
      <c r="G38" s="23">
        <v>12</v>
      </c>
      <c r="H38" s="46">
        <f t="shared" ref="H38:H43" si="6">E38*G38</f>
        <v>12</v>
      </c>
      <c r="I38" s="47">
        <f t="shared" ref="I38:I42" si="7">F38*G38</f>
        <v>12</v>
      </c>
      <c r="J38" s="48">
        <v>0.18</v>
      </c>
      <c r="K38" s="49">
        <f t="shared" ref="K38:K43" si="8">I38*J38</f>
        <v>2.16</v>
      </c>
      <c r="L38" s="45">
        <f t="shared" ref="L38:L44" si="9">I38+K38</f>
        <v>14.16</v>
      </c>
    </row>
    <row r="39" spans="1:12" x14ac:dyDescent="0.3">
      <c r="A39" s="12"/>
      <c r="B39" s="12" t="s">
        <v>53</v>
      </c>
      <c r="C39" s="14" t="s">
        <v>36</v>
      </c>
      <c r="D39" s="14" t="s">
        <v>43</v>
      </c>
      <c r="E39" s="14">
        <v>1</v>
      </c>
      <c r="F39" s="41">
        <f>E39*F13</f>
        <v>1</v>
      </c>
      <c r="G39" s="14">
        <v>0</v>
      </c>
      <c r="H39" s="37">
        <f t="shared" si="6"/>
        <v>0</v>
      </c>
      <c r="I39" s="38">
        <f t="shared" si="7"/>
        <v>0</v>
      </c>
      <c r="J39" s="39">
        <v>0.18</v>
      </c>
      <c r="K39" s="40">
        <f t="shared" si="8"/>
        <v>0</v>
      </c>
      <c r="L39" s="41">
        <f t="shared" si="9"/>
        <v>0</v>
      </c>
    </row>
    <row r="40" spans="1:12" x14ac:dyDescent="0.3">
      <c r="A40" s="12"/>
      <c r="B40" s="12" t="s">
        <v>54</v>
      </c>
      <c r="C40" s="14" t="s">
        <v>36</v>
      </c>
      <c r="D40" s="14" t="s">
        <v>55</v>
      </c>
      <c r="E40" s="14">
        <v>1</v>
      </c>
      <c r="F40" s="41">
        <f>E40*F13</f>
        <v>1</v>
      </c>
      <c r="G40" s="14">
        <v>0</v>
      </c>
      <c r="H40" s="37">
        <f t="shared" si="6"/>
        <v>0</v>
      </c>
      <c r="I40" s="38">
        <f t="shared" si="7"/>
        <v>0</v>
      </c>
      <c r="J40" s="39">
        <v>0.18</v>
      </c>
      <c r="K40" s="40">
        <f t="shared" si="8"/>
        <v>0</v>
      </c>
      <c r="L40" s="41">
        <f t="shared" si="9"/>
        <v>0</v>
      </c>
    </row>
    <row r="41" spans="1:12" x14ac:dyDescent="0.3">
      <c r="A41" s="12"/>
      <c r="B41" s="12" t="s">
        <v>56</v>
      </c>
      <c r="C41" s="14" t="s">
        <v>36</v>
      </c>
      <c r="D41" s="14" t="s">
        <v>55</v>
      </c>
      <c r="E41" s="14">
        <v>0.2</v>
      </c>
      <c r="F41" s="41">
        <f>E41*F13</f>
        <v>0.2</v>
      </c>
      <c r="G41" s="14">
        <v>115</v>
      </c>
      <c r="H41" s="37">
        <v>15</v>
      </c>
      <c r="I41" s="38">
        <f>H41*F13</f>
        <v>15</v>
      </c>
      <c r="J41" s="39">
        <v>0.18</v>
      </c>
      <c r="K41" s="40">
        <f t="shared" si="8"/>
        <v>2.6999999999999997</v>
      </c>
      <c r="L41" s="41">
        <f t="shared" si="9"/>
        <v>17.7</v>
      </c>
    </row>
    <row r="42" spans="1:12" x14ac:dyDescent="0.3">
      <c r="A42" s="12"/>
      <c r="B42" s="12" t="s">
        <v>57</v>
      </c>
      <c r="C42" s="14" t="s">
        <v>36</v>
      </c>
      <c r="D42" s="14" t="s">
        <v>58</v>
      </c>
      <c r="E42" s="14">
        <v>2</v>
      </c>
      <c r="F42" s="41">
        <f>E42*F13</f>
        <v>2</v>
      </c>
      <c r="G42" s="14">
        <v>1.35</v>
      </c>
      <c r="H42" s="37">
        <f t="shared" si="6"/>
        <v>2.7</v>
      </c>
      <c r="I42" s="38">
        <f t="shared" si="7"/>
        <v>2.7</v>
      </c>
      <c r="J42" s="39">
        <v>0.18</v>
      </c>
      <c r="K42" s="40">
        <f t="shared" si="8"/>
        <v>0.48599999999999999</v>
      </c>
      <c r="L42" s="41">
        <f t="shared" si="9"/>
        <v>3.1859999999999999</v>
      </c>
    </row>
    <row r="43" spans="1:12" x14ac:dyDescent="0.3">
      <c r="A43" s="12"/>
      <c r="B43" s="12" t="s">
        <v>59</v>
      </c>
      <c r="C43" s="14" t="s">
        <v>36</v>
      </c>
      <c r="D43" s="14" t="s">
        <v>43</v>
      </c>
      <c r="E43" s="14">
        <v>7.0000000000000007E-2</v>
      </c>
      <c r="F43" s="41">
        <f>E43*F13</f>
        <v>7.0000000000000007E-2</v>
      </c>
      <c r="G43" s="14">
        <v>168</v>
      </c>
      <c r="H43" s="37">
        <f t="shared" si="6"/>
        <v>11.760000000000002</v>
      </c>
      <c r="I43" s="38">
        <f>F43*G43</f>
        <v>11.760000000000002</v>
      </c>
      <c r="J43" s="39">
        <v>0.18</v>
      </c>
      <c r="K43" s="40">
        <f t="shared" si="8"/>
        <v>2.1168</v>
      </c>
      <c r="L43" s="41">
        <f t="shared" si="9"/>
        <v>13.876800000000001</v>
      </c>
    </row>
    <row r="44" spans="1:12" x14ac:dyDescent="0.3">
      <c r="A44" s="12"/>
      <c r="B44" s="12" t="s">
        <v>60</v>
      </c>
      <c r="C44" s="14" t="s">
        <v>61</v>
      </c>
      <c r="D44" s="14" t="s">
        <v>62</v>
      </c>
      <c r="E44" s="14">
        <f>0.1</f>
        <v>0.1</v>
      </c>
      <c r="F44" s="41">
        <f>E44*F13</f>
        <v>0.1</v>
      </c>
      <c r="G44" s="14">
        <v>54</v>
      </c>
      <c r="H44" s="37">
        <f>E44*G44</f>
        <v>5.4</v>
      </c>
      <c r="I44" s="38">
        <f>F44*G44</f>
        <v>5.4</v>
      </c>
      <c r="J44" s="39">
        <v>0.18</v>
      </c>
      <c r="K44" s="40">
        <f>I44*J44</f>
        <v>0.97199999999999998</v>
      </c>
      <c r="L44" s="41">
        <f t="shared" si="9"/>
        <v>6.3719999999999999</v>
      </c>
    </row>
    <row r="45" spans="1:12" x14ac:dyDescent="0.3">
      <c r="A45" s="12"/>
      <c r="B45" s="12"/>
      <c r="C45" s="14"/>
      <c r="D45" s="14"/>
      <c r="E45" s="14"/>
      <c r="F45" s="41"/>
      <c r="G45" s="14"/>
      <c r="H45" s="50">
        <f>SUM(H18:H44)</f>
        <v>1156.0781250000002</v>
      </c>
      <c r="I45" s="50">
        <f>SUM(I18:I44)</f>
        <v>1156.0781250000002</v>
      </c>
      <c r="J45" s="51"/>
      <c r="K45" s="52">
        <f>SUM(K18:K44)</f>
        <v>143.92766249999997</v>
      </c>
      <c r="L45" s="53">
        <f>SUM(L18:L44)</f>
        <v>1300.0057875000002</v>
      </c>
    </row>
    <row r="46" spans="1:12" x14ac:dyDescent="0.3">
      <c r="A46" s="12" t="s">
        <v>63</v>
      </c>
      <c r="B46" s="12" t="s">
        <v>64</v>
      </c>
      <c r="C46" s="15"/>
      <c r="D46" s="14" t="s">
        <v>43</v>
      </c>
      <c r="E46" s="14">
        <f>C46*1%</f>
        <v>0</v>
      </c>
      <c r="F46" s="41">
        <f>F13</f>
        <v>1</v>
      </c>
      <c r="G46" s="14">
        <f>E46</f>
        <v>0</v>
      </c>
      <c r="H46" s="38">
        <f>G46</f>
        <v>0</v>
      </c>
      <c r="I46" s="38">
        <f>H46*F46</f>
        <v>0</v>
      </c>
      <c r="J46" s="39">
        <v>0.18</v>
      </c>
      <c r="K46" s="40">
        <f t="shared" ref="K46:K54" si="10">I46*J46</f>
        <v>0</v>
      </c>
      <c r="L46" s="41">
        <f t="shared" ref="L46:L54" si="11">I46+K46</f>
        <v>0</v>
      </c>
    </row>
    <row r="47" spans="1:12" x14ac:dyDescent="0.3">
      <c r="A47" s="12"/>
      <c r="B47" s="12" t="s">
        <v>65</v>
      </c>
      <c r="C47" s="15"/>
      <c r="D47" s="14" t="s">
        <v>43</v>
      </c>
      <c r="E47" s="14">
        <f>C47*1%</f>
        <v>0</v>
      </c>
      <c r="F47" s="41">
        <f>F13</f>
        <v>1</v>
      </c>
      <c r="G47" s="14">
        <f>E47</f>
        <v>0</v>
      </c>
      <c r="H47" s="38">
        <f>G47</f>
        <v>0</v>
      </c>
      <c r="I47" s="38">
        <f>H47*F47</f>
        <v>0</v>
      </c>
      <c r="J47" s="39">
        <v>0.18</v>
      </c>
      <c r="K47" s="40">
        <f t="shared" si="10"/>
        <v>0</v>
      </c>
      <c r="L47" s="41">
        <f t="shared" si="11"/>
        <v>0</v>
      </c>
    </row>
    <row r="48" spans="1:12" x14ac:dyDescent="0.3">
      <c r="A48" s="12"/>
      <c r="B48" s="12" t="s">
        <v>66</v>
      </c>
      <c r="C48" s="15"/>
      <c r="D48" s="14" t="s">
        <v>43</v>
      </c>
      <c r="E48" s="14">
        <f>C48*5%</f>
        <v>0</v>
      </c>
      <c r="F48" s="41">
        <f>F13</f>
        <v>1</v>
      </c>
      <c r="G48" s="14">
        <f t="shared" ref="G48:G53" si="12">E48</f>
        <v>0</v>
      </c>
      <c r="H48" s="38">
        <f t="shared" ref="H48:H53" si="13">G48</f>
        <v>0</v>
      </c>
      <c r="I48" s="38">
        <f>H48*F48</f>
        <v>0</v>
      </c>
      <c r="J48" s="39"/>
      <c r="K48" s="40">
        <f t="shared" si="10"/>
        <v>0</v>
      </c>
      <c r="L48" s="41">
        <f t="shared" si="11"/>
        <v>0</v>
      </c>
    </row>
    <row r="49" spans="1:12" x14ac:dyDescent="0.3">
      <c r="A49" s="12"/>
      <c r="B49" s="12" t="s">
        <v>67</v>
      </c>
      <c r="C49" s="15"/>
      <c r="D49" s="14" t="s">
        <v>43</v>
      </c>
      <c r="E49" s="14">
        <f>C49*7%</f>
        <v>0</v>
      </c>
      <c r="F49" s="41">
        <f>F13</f>
        <v>1</v>
      </c>
      <c r="G49" s="14">
        <f t="shared" si="12"/>
        <v>0</v>
      </c>
      <c r="H49" s="38">
        <f t="shared" si="13"/>
        <v>0</v>
      </c>
      <c r="I49" s="38">
        <f>H49*F49</f>
        <v>0</v>
      </c>
      <c r="J49" s="12"/>
      <c r="K49" s="40">
        <f t="shared" si="10"/>
        <v>0</v>
      </c>
      <c r="L49" s="41">
        <f t="shared" si="11"/>
        <v>0</v>
      </c>
    </row>
    <row r="50" spans="1:12" x14ac:dyDescent="0.3">
      <c r="A50" s="9" t="s">
        <v>68</v>
      </c>
      <c r="B50" s="12" t="s">
        <v>69</v>
      </c>
      <c r="C50" s="15"/>
      <c r="D50" s="14" t="s">
        <v>43</v>
      </c>
      <c r="E50" s="14">
        <f>C50*2.5%</f>
        <v>0</v>
      </c>
      <c r="F50" s="41">
        <f>F13</f>
        <v>1</v>
      </c>
      <c r="G50" s="14">
        <f t="shared" si="12"/>
        <v>0</v>
      </c>
      <c r="H50" s="38">
        <f t="shared" si="13"/>
        <v>0</v>
      </c>
      <c r="I50" s="38">
        <f t="shared" ref="I50:I54" si="14">H50*F50</f>
        <v>0</v>
      </c>
      <c r="J50" s="12"/>
      <c r="K50" s="40">
        <f t="shared" si="10"/>
        <v>0</v>
      </c>
      <c r="L50" s="41">
        <f t="shared" si="11"/>
        <v>0</v>
      </c>
    </row>
    <row r="51" spans="1:12" x14ac:dyDescent="0.3">
      <c r="A51" s="12"/>
      <c r="B51" s="12" t="s">
        <v>70</v>
      </c>
      <c r="C51" s="15"/>
      <c r="D51" s="14" t="s">
        <v>43</v>
      </c>
      <c r="E51" s="14">
        <f>C51*2%</f>
        <v>0</v>
      </c>
      <c r="F51" s="41">
        <f>F13</f>
        <v>1</v>
      </c>
      <c r="G51" s="14">
        <f t="shared" si="12"/>
        <v>0</v>
      </c>
      <c r="H51" s="38">
        <f t="shared" si="13"/>
        <v>0</v>
      </c>
      <c r="I51" s="38">
        <f t="shared" si="14"/>
        <v>0</v>
      </c>
      <c r="J51" s="12"/>
      <c r="K51" s="40">
        <f t="shared" si="10"/>
        <v>0</v>
      </c>
      <c r="L51" s="41">
        <f t="shared" si="11"/>
        <v>0</v>
      </c>
    </row>
    <row r="52" spans="1:12" x14ac:dyDescent="0.3">
      <c r="A52" s="12"/>
      <c r="B52" s="12" t="s">
        <v>71</v>
      </c>
      <c r="C52" s="15"/>
      <c r="D52" s="14" t="s">
        <v>43</v>
      </c>
      <c r="E52" s="14">
        <v>1000</v>
      </c>
      <c r="F52" s="41">
        <f>F13</f>
        <v>1</v>
      </c>
      <c r="G52" s="14">
        <f t="shared" si="12"/>
        <v>1000</v>
      </c>
      <c r="H52" s="38">
        <f t="shared" si="13"/>
        <v>1000</v>
      </c>
      <c r="I52" s="38">
        <f t="shared" si="14"/>
        <v>1000</v>
      </c>
      <c r="J52" s="12"/>
      <c r="K52" s="40">
        <f t="shared" si="10"/>
        <v>0</v>
      </c>
      <c r="L52" s="41">
        <f t="shared" si="11"/>
        <v>1000</v>
      </c>
    </row>
    <row r="53" spans="1:12" x14ac:dyDescent="0.3">
      <c r="A53" s="12"/>
      <c r="B53" s="12" t="s">
        <v>72</v>
      </c>
      <c r="C53" s="15">
        <f>B59</f>
        <v>4080</v>
      </c>
      <c r="D53" s="14" t="s">
        <v>43</v>
      </c>
      <c r="E53" s="14">
        <f>C53*5%</f>
        <v>204</v>
      </c>
      <c r="F53" s="41">
        <f>F13</f>
        <v>1</v>
      </c>
      <c r="G53" s="14">
        <f t="shared" si="12"/>
        <v>204</v>
      </c>
      <c r="H53" s="38">
        <f t="shared" si="13"/>
        <v>204</v>
      </c>
      <c r="I53" s="38">
        <f t="shared" si="14"/>
        <v>204</v>
      </c>
      <c r="J53" s="12"/>
      <c r="K53" s="40">
        <f t="shared" si="10"/>
        <v>0</v>
      </c>
      <c r="L53" s="41">
        <f t="shared" si="11"/>
        <v>204</v>
      </c>
    </row>
    <row r="54" spans="1:12" x14ac:dyDescent="0.3">
      <c r="A54" s="12" t="s">
        <v>73</v>
      </c>
      <c r="B54" s="54" t="s">
        <v>74</v>
      </c>
      <c r="C54" s="55"/>
      <c r="D54" s="55" t="s">
        <v>43</v>
      </c>
      <c r="E54" s="55">
        <v>420</v>
      </c>
      <c r="F54" s="41">
        <f>F13</f>
        <v>1</v>
      </c>
      <c r="G54" s="55">
        <v>420</v>
      </c>
      <c r="H54" s="56">
        <v>420</v>
      </c>
      <c r="I54" s="38">
        <f t="shared" si="14"/>
        <v>420</v>
      </c>
      <c r="J54" s="54"/>
      <c r="K54" s="57">
        <f t="shared" si="10"/>
        <v>0</v>
      </c>
      <c r="L54" s="58">
        <f t="shared" si="11"/>
        <v>420</v>
      </c>
    </row>
    <row r="55" spans="1:12" x14ac:dyDescent="0.3">
      <c r="A55" s="2"/>
      <c r="B55" s="2"/>
      <c r="C55" s="1"/>
      <c r="D55" s="1"/>
      <c r="E55" s="1"/>
      <c r="F55" s="59">
        <f>F13</f>
        <v>1</v>
      </c>
      <c r="G55" s="1"/>
      <c r="H55" s="59">
        <f>SUM(H45:H54)</f>
        <v>2780.078125</v>
      </c>
      <c r="I55" s="59">
        <f>SUM(I45:I54)</f>
        <v>2780.078125</v>
      </c>
      <c r="J55" s="60"/>
      <c r="K55" s="59">
        <f>SUM(K45:K54)</f>
        <v>143.92766249999997</v>
      </c>
      <c r="L55" s="59">
        <f>SUM(L45:L54)</f>
        <v>2924.0057875000002</v>
      </c>
    </row>
    <row r="56" spans="1:12" x14ac:dyDescent="0.3">
      <c r="A56" s="2"/>
      <c r="B56" s="2"/>
      <c r="C56" s="1"/>
      <c r="D56" s="1"/>
      <c r="E56" s="1"/>
      <c r="F56" s="2"/>
      <c r="G56" s="1"/>
      <c r="H56" s="61"/>
      <c r="I56" s="61"/>
    </row>
    <row r="57" spans="1:12" ht="46.2" customHeight="1" x14ac:dyDescent="0.3">
      <c r="A57" s="2"/>
      <c r="B57" s="2"/>
      <c r="C57" s="1"/>
      <c r="D57" s="1"/>
      <c r="E57" s="1"/>
      <c r="F57" s="2"/>
      <c r="G57" s="62" t="s">
        <v>75</v>
      </c>
      <c r="H57" s="2"/>
      <c r="I57" s="2"/>
      <c r="J57" s="2"/>
      <c r="K57" s="61"/>
      <c r="L57" s="2"/>
    </row>
    <row r="58" spans="1:12" ht="18" x14ac:dyDescent="0.35">
      <c r="A58" s="63" t="s">
        <v>76</v>
      </c>
      <c r="B58" s="64">
        <v>48</v>
      </c>
      <c r="C58" s="122" t="s">
        <v>77</v>
      </c>
      <c r="D58" s="122"/>
      <c r="E58" s="122"/>
      <c r="F58" s="122"/>
      <c r="G58" s="65">
        <f>G15</f>
        <v>1330</v>
      </c>
      <c r="H58" s="1"/>
      <c r="I58" s="1"/>
      <c r="J58" s="2"/>
      <c r="K58" s="2"/>
      <c r="L58" s="2"/>
    </row>
    <row r="59" spans="1:12" ht="18" x14ac:dyDescent="0.35">
      <c r="A59" s="63">
        <v>85</v>
      </c>
      <c r="B59" s="63">
        <f>B58*A59</f>
        <v>4080</v>
      </c>
      <c r="C59" s="122" t="s">
        <v>78</v>
      </c>
      <c r="D59" s="122"/>
      <c r="E59" s="122"/>
      <c r="F59" s="122"/>
      <c r="G59" s="65">
        <f>I55/F13</f>
        <v>2780.078125</v>
      </c>
      <c r="H59" s="1"/>
      <c r="I59" s="1"/>
      <c r="J59" s="2"/>
      <c r="K59" s="2"/>
      <c r="L59" s="2"/>
    </row>
    <row r="60" spans="1:12" x14ac:dyDescent="0.3">
      <c r="A60" s="2"/>
      <c r="B60" s="2"/>
      <c r="C60" s="130" t="s">
        <v>79</v>
      </c>
      <c r="D60" s="130"/>
      <c r="E60" s="130"/>
      <c r="F60" s="130"/>
      <c r="G60" s="67">
        <f>SUM(G58:G59)</f>
        <v>4110.078125</v>
      </c>
      <c r="H60" s="1"/>
      <c r="I60" s="1"/>
      <c r="J60" s="2"/>
      <c r="K60" s="2"/>
      <c r="L60" s="2"/>
    </row>
    <row r="61" spans="1:12" ht="14.4" customHeight="1" x14ac:dyDescent="0.35">
      <c r="A61" s="63" t="s">
        <v>76</v>
      </c>
      <c r="B61" s="64">
        <f>H62</f>
        <v>43.263980263157897</v>
      </c>
      <c r="C61" s="2"/>
      <c r="G61" s="1"/>
      <c r="H61" s="1"/>
      <c r="I61" s="1"/>
      <c r="J61" s="2"/>
      <c r="K61" s="2"/>
      <c r="L61" s="2"/>
    </row>
    <row r="62" spans="1:12" ht="14.4" customHeight="1" x14ac:dyDescent="0.35">
      <c r="A62" s="63">
        <v>95</v>
      </c>
      <c r="B62" s="63">
        <f>B61*A62</f>
        <v>4110.078125</v>
      </c>
      <c r="C62" s="2"/>
      <c r="G62" s="68">
        <f>G60/A59</f>
        <v>48.353860294117645</v>
      </c>
      <c r="H62" s="69">
        <f>G60/A62</f>
        <v>43.263980263157897</v>
      </c>
      <c r="I62" s="1"/>
      <c r="J62" s="2"/>
      <c r="K62" s="2"/>
      <c r="L62" s="2"/>
    </row>
    <row r="63" spans="1:12" ht="14.4" customHeight="1" x14ac:dyDescent="0.3">
      <c r="A63" s="2"/>
      <c r="B63" s="2"/>
      <c r="D63" s="70" t="s">
        <v>80</v>
      </c>
      <c r="E63" s="1"/>
      <c r="F63" s="71"/>
      <c r="G63" s="71"/>
      <c r="H63" s="1"/>
      <c r="I63" s="1"/>
      <c r="J63" s="2"/>
      <c r="K63" s="2"/>
      <c r="L63" s="2"/>
    </row>
    <row r="64" spans="1:12" ht="14.4" customHeight="1" x14ac:dyDescent="0.3">
      <c r="A64" s="2"/>
      <c r="B64" s="2"/>
      <c r="D64" s="72" t="s">
        <v>81</v>
      </c>
      <c r="E64" s="73">
        <f>I55/F55</f>
        <v>2780.078125</v>
      </c>
      <c r="F64" s="74" t="s">
        <v>20</v>
      </c>
      <c r="G64" s="71"/>
      <c r="H64" s="1"/>
      <c r="I64" s="1"/>
      <c r="J64" s="2"/>
      <c r="K64" s="2"/>
      <c r="L64" s="2"/>
    </row>
    <row r="65" spans="1:12" x14ac:dyDescent="0.3">
      <c r="A65" s="2"/>
      <c r="B65" s="75"/>
      <c r="C65" s="2"/>
      <c r="D65" s="72" t="s">
        <v>21</v>
      </c>
      <c r="E65" s="73">
        <f>L55/F55</f>
        <v>2924.0057875000002</v>
      </c>
      <c r="F65" s="74" t="s">
        <v>20</v>
      </c>
      <c r="G65" s="71"/>
      <c r="H65" s="1"/>
      <c r="I65" s="1"/>
      <c r="J65" s="2"/>
      <c r="K65" s="2"/>
      <c r="L65" s="2"/>
    </row>
    <row r="66" spans="1:12" x14ac:dyDescent="0.3">
      <c r="A66" s="2"/>
      <c r="B66" s="2"/>
      <c r="C66" s="1"/>
      <c r="D66" s="76"/>
      <c r="E66" s="71"/>
      <c r="F66" s="71"/>
      <c r="G66" s="1"/>
      <c r="H66" s="2"/>
      <c r="I66" s="2"/>
      <c r="J66" s="2"/>
      <c r="K66" s="2"/>
      <c r="L66" s="2"/>
    </row>
    <row r="67" spans="1:12" x14ac:dyDescent="0.3">
      <c r="D67" s="77" t="s">
        <v>21</v>
      </c>
      <c r="E67" s="78"/>
      <c r="F67" s="79" t="s">
        <v>19</v>
      </c>
    </row>
    <row r="68" spans="1:12" x14ac:dyDescent="0.3">
      <c r="B68" s="122" t="s">
        <v>82</v>
      </c>
      <c r="C68" s="122"/>
      <c r="D68" s="65">
        <f>G16</f>
        <v>1489.6</v>
      </c>
      <c r="E68" s="75"/>
      <c r="F68" s="80">
        <f>G15</f>
        <v>1330</v>
      </c>
    </row>
    <row r="69" spans="1:12" x14ac:dyDescent="0.3">
      <c r="B69" s="124" t="s">
        <v>83</v>
      </c>
      <c r="C69" s="125"/>
      <c r="D69" s="65">
        <f>E65</f>
        <v>2924.0057875000002</v>
      </c>
      <c r="E69" s="75"/>
      <c r="F69" s="80">
        <f>E64</f>
        <v>2780.078125</v>
      </c>
    </row>
    <row r="70" spans="1:12" x14ac:dyDescent="0.3">
      <c r="B70" s="66" t="s">
        <v>79</v>
      </c>
      <c r="C70" s="66"/>
      <c r="D70" s="67">
        <f>SUM(D68:D69)</f>
        <v>4413.6057875000006</v>
      </c>
      <c r="E70" s="78"/>
      <c r="F70" s="81">
        <f>SUM(F68:F69)</f>
        <v>4110.078125</v>
      </c>
    </row>
    <row r="71" spans="1:12" x14ac:dyDescent="0.3">
      <c r="D71" s="82"/>
      <c r="E71" s="1"/>
      <c r="F71" s="71"/>
    </row>
    <row r="72" spans="1:12" x14ac:dyDescent="0.3">
      <c r="D72" s="68">
        <f>D70/A59</f>
        <v>51.924773970588241</v>
      </c>
      <c r="E72" s="1"/>
      <c r="F72" s="68">
        <f>F70/A59</f>
        <v>48.353860294117645</v>
      </c>
    </row>
    <row r="79" spans="1:12" x14ac:dyDescent="0.3">
      <c r="D79" s="43"/>
    </row>
    <row r="80" spans="1:12" x14ac:dyDescent="0.3">
      <c r="D80" s="43"/>
    </row>
    <row r="81" spans="4:4" x14ac:dyDescent="0.3">
      <c r="D81" s="43"/>
    </row>
    <row r="82" spans="4:4" x14ac:dyDescent="0.3">
      <c r="D82" s="43"/>
    </row>
    <row r="83" spans="4:4" x14ac:dyDescent="0.3">
      <c r="D83" s="43"/>
    </row>
  </sheetData>
  <mergeCells count="13">
    <mergeCell ref="L7:L8"/>
    <mergeCell ref="A1:F1"/>
    <mergeCell ref="A2:F2"/>
    <mergeCell ref="A3:F3"/>
    <mergeCell ref="A5:F5"/>
    <mergeCell ref="J7:K7"/>
    <mergeCell ref="B68:C68"/>
    <mergeCell ref="B69:C69"/>
    <mergeCell ref="D15:E15"/>
    <mergeCell ref="D16:E16"/>
    <mergeCell ref="C58:F58"/>
    <mergeCell ref="C59:F59"/>
    <mergeCell ref="C60:F60"/>
  </mergeCells>
  <pageMargins left="0.31496062992125984" right="0.31496062992125984" top="0.35433070866141736" bottom="0.15748031496062992" header="0.31496062992125984" footer="0.31496062992125984"/>
  <pageSetup paperSize="9" scale="85" orientation="landscape" verticalDpi="0" r:id="rId1"/>
  <ignoredErrors>
    <ignoredError sqref="I22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74AD-4EB4-4EF8-9DFA-D03A2E6A6897}">
  <dimension ref="A1:M84"/>
  <sheetViews>
    <sheetView workbookViewId="0">
      <selection activeCell="A3" sqref="A3:F3"/>
    </sheetView>
  </sheetViews>
  <sheetFormatPr defaultRowHeight="14.4" x14ac:dyDescent="0.3"/>
  <cols>
    <col min="1" max="1" width="9.6640625" bestFit="1" customWidth="1"/>
    <col min="2" max="2" width="41.21875" bestFit="1" customWidth="1"/>
    <col min="3" max="3" width="15" bestFit="1" customWidth="1"/>
    <col min="4" max="4" width="10.33203125" bestFit="1" customWidth="1"/>
    <col min="5" max="5" width="7.5546875" bestFit="1" customWidth="1"/>
    <col min="6" max="6" width="8.5546875" bestFit="1" customWidth="1"/>
    <col min="7" max="7" width="9.109375" style="43" bestFit="1" customWidth="1"/>
    <col min="8" max="8" width="8" bestFit="1" customWidth="1"/>
    <col min="9" max="9" width="10.44140625" bestFit="1" customWidth="1"/>
    <col min="10" max="10" width="5.44140625" bestFit="1" customWidth="1"/>
    <col min="11" max="11" width="9.44140625" bestFit="1" customWidth="1"/>
    <col min="12" max="12" width="10.44140625" bestFit="1" customWidth="1"/>
    <col min="13" max="13" width="5" bestFit="1" customWidth="1"/>
    <col min="14" max="14" width="7" bestFit="1" customWidth="1"/>
  </cols>
  <sheetData>
    <row r="1" spans="1:12" x14ac:dyDescent="0.3">
      <c r="A1" s="114" t="s">
        <v>0</v>
      </c>
      <c r="B1" s="115"/>
      <c r="C1" s="115"/>
      <c r="D1" s="115"/>
      <c r="E1" s="115"/>
      <c r="F1" s="115"/>
      <c r="G1" s="1"/>
      <c r="H1" s="2"/>
      <c r="I1" s="2"/>
      <c r="J1" s="2"/>
      <c r="K1" s="2"/>
      <c r="L1" s="2"/>
    </row>
    <row r="2" spans="1:12" x14ac:dyDescent="0.3">
      <c r="A2" s="114" t="s">
        <v>1</v>
      </c>
      <c r="B2" s="115"/>
      <c r="C2" s="115"/>
      <c r="D2" s="115"/>
      <c r="E2" s="115"/>
      <c r="F2" s="115"/>
      <c r="G2" s="1"/>
      <c r="H2" s="2"/>
      <c r="I2" s="2"/>
      <c r="J2" s="2"/>
      <c r="K2" s="2"/>
      <c r="L2" s="2"/>
    </row>
    <row r="3" spans="1:12" ht="18" x14ac:dyDescent="0.35">
      <c r="A3" s="116" t="s">
        <v>244</v>
      </c>
      <c r="B3" s="116"/>
      <c r="C3" s="116"/>
      <c r="D3" s="116"/>
      <c r="E3" s="116"/>
      <c r="F3" s="116"/>
      <c r="G3" s="3"/>
      <c r="H3" s="4"/>
      <c r="I3" s="4"/>
      <c r="J3" s="4"/>
      <c r="K3" s="4"/>
      <c r="L3" s="4"/>
    </row>
    <row r="4" spans="1:12" x14ac:dyDescent="0.3">
      <c r="G4" s="1"/>
      <c r="H4" s="2"/>
      <c r="I4" s="2"/>
      <c r="J4" s="2"/>
      <c r="K4" s="2"/>
      <c r="L4" s="2"/>
    </row>
    <row r="5" spans="1:12" ht="21" x14ac:dyDescent="0.4">
      <c r="A5" s="128" t="s">
        <v>2</v>
      </c>
      <c r="B5" s="129"/>
      <c r="C5" s="129"/>
      <c r="D5" s="129"/>
      <c r="E5" s="129"/>
      <c r="F5" s="129"/>
      <c r="G5" s="1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1"/>
      <c r="H6" s="2"/>
      <c r="I6" s="2"/>
      <c r="J6" s="2"/>
      <c r="K6" s="2"/>
      <c r="L6" s="2"/>
    </row>
    <row r="7" spans="1:12" ht="24" x14ac:dyDescent="0.3">
      <c r="A7" s="5" t="s">
        <v>3</v>
      </c>
      <c r="B7" s="6" t="s">
        <v>4</v>
      </c>
      <c r="C7" s="7" t="s">
        <v>5</v>
      </c>
      <c r="D7" s="7" t="s">
        <v>6</v>
      </c>
      <c r="E7" s="7" t="s">
        <v>7</v>
      </c>
      <c r="F7" s="6" t="s">
        <v>8</v>
      </c>
      <c r="G7" s="7" t="s">
        <v>9</v>
      </c>
      <c r="H7" s="8" t="s">
        <v>10</v>
      </c>
      <c r="I7" s="7" t="s">
        <v>11</v>
      </c>
      <c r="J7" s="117" t="s">
        <v>12</v>
      </c>
      <c r="K7" s="118"/>
      <c r="L7" s="119" t="s">
        <v>13</v>
      </c>
    </row>
    <row r="8" spans="1:12" x14ac:dyDescent="0.3">
      <c r="A8" s="9" t="s">
        <v>14</v>
      </c>
      <c r="B8" s="9"/>
      <c r="C8" s="10"/>
      <c r="D8" s="10"/>
      <c r="E8" s="10"/>
      <c r="F8" s="9"/>
      <c r="G8" s="10"/>
      <c r="H8" s="10"/>
      <c r="I8" s="10"/>
      <c r="J8" s="10" t="s">
        <v>15</v>
      </c>
      <c r="K8" s="11" t="s">
        <v>11</v>
      </c>
      <c r="L8" s="119"/>
    </row>
    <row r="9" spans="1:12" x14ac:dyDescent="0.3">
      <c r="A9" s="12"/>
      <c r="B9" s="13" t="s">
        <v>140</v>
      </c>
      <c r="C9" s="20" t="s">
        <v>245</v>
      </c>
      <c r="D9" s="14" t="s">
        <v>17</v>
      </c>
      <c r="E9" s="15">
        <v>425</v>
      </c>
      <c r="F9" s="15">
        <v>425</v>
      </c>
      <c r="G9" s="14">
        <v>9.5</v>
      </c>
      <c r="H9" s="16">
        <f>F9*G9</f>
        <v>4037.5</v>
      </c>
      <c r="I9" s="17">
        <f>F9*G9</f>
        <v>4037.5</v>
      </c>
      <c r="J9" s="18">
        <v>0.12</v>
      </c>
      <c r="K9" s="19">
        <f>I9*J9</f>
        <v>484.5</v>
      </c>
      <c r="L9" s="15">
        <f>I9+K9</f>
        <v>4522</v>
      </c>
    </row>
    <row r="10" spans="1:12" x14ac:dyDescent="0.3">
      <c r="A10" s="12"/>
      <c r="B10" s="13"/>
      <c r="C10" s="20"/>
      <c r="D10" s="14"/>
      <c r="E10" s="15"/>
      <c r="F10" s="15"/>
      <c r="G10" s="14"/>
      <c r="H10" s="16"/>
      <c r="I10" s="17"/>
      <c r="J10" s="18"/>
      <c r="K10" s="19"/>
      <c r="L10" s="15"/>
    </row>
    <row r="11" spans="1:12" ht="18" x14ac:dyDescent="0.3">
      <c r="A11" s="21"/>
      <c r="B11" s="13" t="s">
        <v>246</v>
      </c>
      <c r="C11" s="22"/>
      <c r="D11" s="22"/>
      <c r="E11" s="23"/>
      <c r="F11" s="24">
        <v>1</v>
      </c>
      <c r="G11" s="23"/>
      <c r="H11" s="25">
        <f>SUM(H9:H9)</f>
        <v>4037.5</v>
      </c>
      <c r="I11" s="26">
        <f>SUM(I9:I9)</f>
        <v>4037.5</v>
      </c>
      <c r="J11" s="27"/>
      <c r="K11" s="28">
        <f>SUM(K9:K9)</f>
        <v>484.5</v>
      </c>
      <c r="L11" s="29">
        <f>SUM(L9:L9)</f>
        <v>4522</v>
      </c>
    </row>
    <row r="12" spans="1:12" x14ac:dyDescent="0.3">
      <c r="A12" s="21"/>
      <c r="B12" s="21"/>
      <c r="C12" s="23"/>
      <c r="D12" s="30"/>
      <c r="E12" s="31"/>
      <c r="F12" s="32"/>
      <c r="G12" s="23"/>
      <c r="H12" s="25"/>
      <c r="I12" s="26"/>
      <c r="J12" s="27"/>
      <c r="K12" s="28"/>
      <c r="L12" s="29"/>
    </row>
    <row r="13" spans="1:12" x14ac:dyDescent="0.3">
      <c r="A13" s="12"/>
      <c r="B13" s="12"/>
      <c r="C13" s="14"/>
      <c r="D13" s="120" t="s">
        <v>19</v>
      </c>
      <c r="E13" s="121"/>
      <c r="F13" s="35" t="s">
        <v>20</v>
      </c>
      <c r="G13" s="36">
        <f>I11/F11</f>
        <v>4037.5</v>
      </c>
      <c r="H13" s="37"/>
      <c r="I13" s="38"/>
      <c r="J13" s="39"/>
      <c r="K13" s="40"/>
      <c r="L13" s="41"/>
    </row>
    <row r="14" spans="1:12" x14ac:dyDescent="0.3">
      <c r="A14" s="12"/>
      <c r="B14" s="12"/>
      <c r="C14" s="14"/>
      <c r="D14" s="120" t="s">
        <v>21</v>
      </c>
      <c r="E14" s="121"/>
      <c r="F14" s="35" t="s">
        <v>20</v>
      </c>
      <c r="G14" s="36">
        <f>L11/F11</f>
        <v>4522</v>
      </c>
      <c r="H14" s="37"/>
      <c r="I14" s="38"/>
      <c r="J14" s="39"/>
      <c r="K14" s="40"/>
      <c r="L14" s="41"/>
    </row>
    <row r="15" spans="1:12" x14ac:dyDescent="0.3">
      <c r="A15" s="12"/>
      <c r="B15" s="12"/>
      <c r="C15" s="14"/>
      <c r="D15" s="33"/>
      <c r="E15" s="34"/>
      <c r="F15" s="35"/>
      <c r="G15" s="36"/>
      <c r="H15" s="37"/>
      <c r="I15" s="38"/>
      <c r="J15" s="39"/>
      <c r="K15" s="40"/>
      <c r="L15" s="41"/>
    </row>
    <row r="16" spans="1:12" x14ac:dyDescent="0.3">
      <c r="A16" s="9" t="s">
        <v>22</v>
      </c>
      <c r="B16" s="113" t="s">
        <v>23</v>
      </c>
      <c r="C16" s="14" t="str">
        <f>C9</f>
        <v>PINE GREEN</v>
      </c>
      <c r="D16" s="14" t="s">
        <v>24</v>
      </c>
      <c r="E16" s="14">
        <v>1.25</v>
      </c>
      <c r="F16" s="41">
        <f>E16*F11</f>
        <v>1.25</v>
      </c>
      <c r="G16" s="14">
        <v>52</v>
      </c>
      <c r="H16" s="37">
        <f>E16*G16</f>
        <v>65</v>
      </c>
      <c r="I16" s="38">
        <f>F16*G16</f>
        <v>65</v>
      </c>
      <c r="J16" s="39">
        <v>0.12</v>
      </c>
      <c r="K16" s="40">
        <f>I16*J16</f>
        <v>7.8</v>
      </c>
      <c r="L16" s="41">
        <f>I16+K16</f>
        <v>72.8</v>
      </c>
    </row>
    <row r="17" spans="1:13" x14ac:dyDescent="0.3">
      <c r="A17" s="9"/>
      <c r="B17" s="113" t="s">
        <v>90</v>
      </c>
      <c r="C17" s="14" t="str">
        <f>C9</f>
        <v>PINE GREEN</v>
      </c>
      <c r="D17" s="14" t="s">
        <v>24</v>
      </c>
      <c r="E17" s="14">
        <v>3</v>
      </c>
      <c r="F17" s="41">
        <f>E17*F11</f>
        <v>3</v>
      </c>
      <c r="G17" s="14">
        <v>45</v>
      </c>
      <c r="H17" s="37">
        <f>E17*G17</f>
        <v>135</v>
      </c>
      <c r="I17" s="38">
        <f>F17*G17</f>
        <v>135</v>
      </c>
      <c r="J17" s="39">
        <v>0.12</v>
      </c>
      <c r="K17" s="40">
        <f>I17*J17</f>
        <v>16.2</v>
      </c>
      <c r="L17" s="41">
        <f>I17+K17</f>
        <v>151.19999999999999</v>
      </c>
    </row>
    <row r="18" spans="1:13" x14ac:dyDescent="0.3">
      <c r="A18" s="9"/>
      <c r="B18" s="42"/>
      <c r="C18" s="14"/>
      <c r="D18" s="14"/>
      <c r="E18" s="14"/>
      <c r="F18" s="41"/>
      <c r="G18" s="14"/>
      <c r="H18" s="37"/>
      <c r="I18" s="38"/>
      <c r="J18" s="39"/>
      <c r="K18" s="40"/>
      <c r="L18" s="41"/>
    </row>
    <row r="19" spans="1:13" x14ac:dyDescent="0.3">
      <c r="A19" s="9" t="s">
        <v>26</v>
      </c>
      <c r="B19" s="12" t="s">
        <v>27</v>
      </c>
      <c r="C19" s="14" t="str">
        <f>C9</f>
        <v>PINE GREEN</v>
      </c>
      <c r="D19" s="14" t="s">
        <v>28</v>
      </c>
      <c r="E19" s="14">
        <v>100</v>
      </c>
      <c r="F19" s="41">
        <f>E19*F11</f>
        <v>100</v>
      </c>
      <c r="G19" s="14">
        <v>125</v>
      </c>
      <c r="H19" s="37">
        <f>F19/1000*G19/F11</f>
        <v>12.5</v>
      </c>
      <c r="I19" s="38">
        <f>F19/1000*G19</f>
        <v>12.5</v>
      </c>
      <c r="J19" s="39">
        <v>0.12</v>
      </c>
      <c r="K19" s="40">
        <f>I19*J19</f>
        <v>1.5</v>
      </c>
      <c r="L19" s="41">
        <f>I19+K19</f>
        <v>14</v>
      </c>
    </row>
    <row r="20" spans="1:13" x14ac:dyDescent="0.3">
      <c r="A20" s="9"/>
      <c r="B20" s="12" t="s">
        <v>29</v>
      </c>
      <c r="C20" s="14" t="str">
        <f>C9</f>
        <v>PINE GREEN</v>
      </c>
      <c r="D20" s="14" t="s">
        <v>28</v>
      </c>
      <c r="E20" s="14">
        <v>100</v>
      </c>
      <c r="F20" s="41">
        <f>E20*F11</f>
        <v>100</v>
      </c>
      <c r="G20" s="14">
        <v>257</v>
      </c>
      <c r="H20" s="37">
        <f>F20/5000*G20/F11</f>
        <v>5.14</v>
      </c>
      <c r="I20" s="38">
        <f>H20*F11</f>
        <v>5.14</v>
      </c>
      <c r="J20" s="39">
        <v>0.12</v>
      </c>
      <c r="K20" s="40">
        <f>I20*J20</f>
        <v>0.6167999999999999</v>
      </c>
      <c r="L20" s="41">
        <f>I20+K20</f>
        <v>5.7567999999999993</v>
      </c>
    </row>
    <row r="21" spans="1:13" x14ac:dyDescent="0.3">
      <c r="A21" s="9"/>
      <c r="B21" s="12" t="s">
        <v>30</v>
      </c>
      <c r="C21" s="14" t="str">
        <f>C9</f>
        <v>PINE GREEN</v>
      </c>
      <c r="D21" s="14" t="s">
        <v>28</v>
      </c>
      <c r="E21" s="14">
        <v>50</v>
      </c>
      <c r="F21" s="41">
        <f>E21*F11</f>
        <v>50</v>
      </c>
      <c r="G21" s="14">
        <v>162</v>
      </c>
      <c r="H21" s="37">
        <f>F21/1000*G21/F11</f>
        <v>8.1</v>
      </c>
      <c r="I21" s="38">
        <f>F21/1000*G21</f>
        <v>8.1</v>
      </c>
      <c r="J21" s="39">
        <v>0.12</v>
      </c>
      <c r="K21" s="40">
        <f>I21*J21</f>
        <v>0.97199999999999998</v>
      </c>
      <c r="L21" s="41">
        <f>I21+K21</f>
        <v>9.0719999999999992</v>
      </c>
    </row>
    <row r="22" spans="1:13" x14ac:dyDescent="0.3">
      <c r="A22" s="9"/>
      <c r="B22" s="12"/>
      <c r="C22" s="14"/>
      <c r="D22" s="14"/>
      <c r="E22" s="14"/>
      <c r="F22" s="41"/>
      <c r="G22" s="14"/>
      <c r="H22" s="37"/>
      <c r="I22" s="38"/>
      <c r="J22" s="39"/>
      <c r="K22" s="40"/>
      <c r="L22" s="41"/>
    </row>
    <row r="23" spans="1:13" x14ac:dyDescent="0.3">
      <c r="A23" s="9" t="s">
        <v>31</v>
      </c>
      <c r="B23" s="12" t="s">
        <v>32</v>
      </c>
      <c r="C23" s="14" t="s">
        <v>33</v>
      </c>
      <c r="D23" s="14" t="s">
        <v>34</v>
      </c>
      <c r="E23" s="14">
        <v>1.5</v>
      </c>
      <c r="F23" s="41">
        <f>E23*F11</f>
        <v>1.5</v>
      </c>
      <c r="G23" s="14">
        <v>32</v>
      </c>
      <c r="H23" s="37">
        <f>E23*G23</f>
        <v>48</v>
      </c>
      <c r="I23" s="38">
        <f>F23*G23</f>
        <v>48</v>
      </c>
      <c r="J23" s="39">
        <v>0.18</v>
      </c>
      <c r="K23" s="40">
        <f>I23*J23</f>
        <v>8.64</v>
      </c>
      <c r="L23" s="41">
        <f>I23+K23</f>
        <v>56.64</v>
      </c>
    </row>
    <row r="24" spans="1:13" x14ac:dyDescent="0.3">
      <c r="A24" s="9"/>
      <c r="B24" s="12" t="s">
        <v>35</v>
      </c>
      <c r="C24" s="14" t="s">
        <v>36</v>
      </c>
      <c r="D24" s="14" t="s">
        <v>37</v>
      </c>
      <c r="E24" s="14">
        <v>0.15</v>
      </c>
      <c r="F24" s="41">
        <f>E24*F11</f>
        <v>0.15</v>
      </c>
      <c r="G24" s="14">
        <v>88</v>
      </c>
      <c r="H24" s="37">
        <f>E24*G24</f>
        <v>13.2</v>
      </c>
      <c r="I24" s="38">
        <f>F24*G24</f>
        <v>13.2</v>
      </c>
      <c r="J24" s="39">
        <v>0.18</v>
      </c>
      <c r="K24" s="40">
        <f>I24*J24</f>
        <v>2.3759999999999999</v>
      </c>
      <c r="L24" s="41">
        <f>I24+K24</f>
        <v>15.575999999999999</v>
      </c>
    </row>
    <row r="25" spans="1:13" x14ac:dyDescent="0.3">
      <c r="A25" s="9"/>
      <c r="B25" s="12" t="s">
        <v>38</v>
      </c>
      <c r="C25" s="14" t="s">
        <v>39</v>
      </c>
      <c r="D25" s="14" t="s">
        <v>34</v>
      </c>
      <c r="E25" s="14">
        <v>3.75</v>
      </c>
      <c r="F25" s="41">
        <f>E25*F11</f>
        <v>3.75</v>
      </c>
      <c r="G25" s="14">
        <v>0.6875</v>
      </c>
      <c r="H25" s="37">
        <f>E25*G25</f>
        <v>2.578125</v>
      </c>
      <c r="I25" s="38">
        <f>F25*G25</f>
        <v>2.578125</v>
      </c>
      <c r="J25" s="39">
        <v>0.18</v>
      </c>
      <c r="K25" s="40">
        <f>I25*J25</f>
        <v>0.46406249999999999</v>
      </c>
      <c r="L25" s="41">
        <f>I25+K25</f>
        <v>3.0421874999999998</v>
      </c>
    </row>
    <row r="26" spans="1:13" x14ac:dyDescent="0.3">
      <c r="A26" s="9"/>
      <c r="B26" s="12"/>
      <c r="C26" s="14"/>
      <c r="D26" s="14"/>
      <c r="E26" s="14"/>
      <c r="F26" s="41"/>
      <c r="G26" s="14"/>
      <c r="H26" s="37"/>
      <c r="I26" s="38"/>
      <c r="J26" s="39"/>
      <c r="K26" s="40"/>
      <c r="L26" s="41"/>
    </row>
    <row r="27" spans="1:13" x14ac:dyDescent="0.3">
      <c r="A27" s="9"/>
      <c r="B27" s="12"/>
      <c r="C27" s="14"/>
      <c r="D27" s="14"/>
      <c r="E27" s="14"/>
      <c r="F27" s="41"/>
      <c r="G27" s="14"/>
      <c r="H27" s="12"/>
      <c r="I27" s="41"/>
      <c r="J27" s="39"/>
      <c r="K27" s="41"/>
      <c r="L27" s="41"/>
    </row>
    <row r="28" spans="1:13" x14ac:dyDescent="0.3">
      <c r="A28" s="12" t="s">
        <v>41</v>
      </c>
      <c r="B28" s="22"/>
      <c r="C28" s="14"/>
      <c r="D28" s="14"/>
      <c r="E28" s="14"/>
      <c r="F28" s="12"/>
      <c r="G28" s="14"/>
      <c r="H28" s="12"/>
      <c r="I28" s="38"/>
      <c r="J28" s="39"/>
      <c r="K28" s="40"/>
      <c r="L28" s="41"/>
    </row>
    <row r="29" spans="1:13" x14ac:dyDescent="0.3">
      <c r="A29" s="12"/>
      <c r="B29" s="22" t="s">
        <v>226</v>
      </c>
      <c r="C29" s="14" t="s">
        <v>36</v>
      </c>
      <c r="D29" s="14" t="s">
        <v>43</v>
      </c>
      <c r="E29" s="14">
        <v>2</v>
      </c>
      <c r="F29" s="12">
        <f>E29*F6</f>
        <v>0</v>
      </c>
      <c r="G29" s="14">
        <v>7.5</v>
      </c>
      <c r="H29" s="12">
        <f t="shared" ref="H29:H33" si="0">E29*G29</f>
        <v>15</v>
      </c>
      <c r="I29" s="38">
        <f t="shared" ref="I29:I33" si="1">F29*G29</f>
        <v>0</v>
      </c>
      <c r="J29" s="39">
        <v>0.12</v>
      </c>
      <c r="K29" s="40">
        <f t="shared" ref="K29:K33" si="2">I29*J29</f>
        <v>0</v>
      </c>
      <c r="L29" s="41">
        <f t="shared" ref="L29:L33" si="3">I29+K29</f>
        <v>0</v>
      </c>
    </row>
    <row r="30" spans="1:13" x14ac:dyDescent="0.3">
      <c r="A30" s="12"/>
      <c r="B30" s="22"/>
      <c r="C30" s="14"/>
      <c r="D30" s="14"/>
      <c r="E30" s="14"/>
      <c r="F30" s="12"/>
      <c r="G30" s="14"/>
      <c r="H30" s="12"/>
      <c r="I30" s="38"/>
      <c r="J30" s="39"/>
      <c r="K30" s="40"/>
      <c r="L30" s="41"/>
    </row>
    <row r="31" spans="1:13" x14ac:dyDescent="0.3">
      <c r="A31" s="12"/>
      <c r="B31" s="22" t="s">
        <v>44</v>
      </c>
      <c r="C31" s="14" t="s">
        <v>36</v>
      </c>
      <c r="D31" s="14" t="s">
        <v>43</v>
      </c>
      <c r="E31" s="14">
        <v>1</v>
      </c>
      <c r="F31" s="12">
        <f>E31*F11</f>
        <v>1</v>
      </c>
      <c r="G31" s="14">
        <v>18</v>
      </c>
      <c r="H31" s="12">
        <f t="shared" si="0"/>
        <v>18</v>
      </c>
      <c r="I31" s="38">
        <f t="shared" si="1"/>
        <v>18</v>
      </c>
      <c r="J31" s="39">
        <v>0.12</v>
      </c>
      <c r="K31" s="40">
        <f t="shared" si="2"/>
        <v>2.16</v>
      </c>
      <c r="L31" s="41">
        <f t="shared" si="3"/>
        <v>20.16</v>
      </c>
      <c r="M31" s="43"/>
    </row>
    <row r="32" spans="1:13" x14ac:dyDescent="0.3">
      <c r="A32" s="12"/>
      <c r="B32" s="112" t="s">
        <v>228</v>
      </c>
      <c r="C32" s="14" t="s">
        <v>36</v>
      </c>
      <c r="D32" s="14" t="s">
        <v>34</v>
      </c>
      <c r="E32" s="14">
        <v>0.15</v>
      </c>
      <c r="F32" s="12">
        <f>E32*F11</f>
        <v>0.15</v>
      </c>
      <c r="G32" s="14">
        <v>40</v>
      </c>
      <c r="H32" s="12">
        <f t="shared" si="0"/>
        <v>6</v>
      </c>
      <c r="I32" s="38">
        <f t="shared" si="1"/>
        <v>6</v>
      </c>
      <c r="J32" s="39">
        <v>0.12</v>
      </c>
      <c r="K32" s="40">
        <f t="shared" si="2"/>
        <v>0.72</v>
      </c>
      <c r="L32" s="41">
        <f t="shared" si="3"/>
        <v>6.72</v>
      </c>
    </row>
    <row r="33" spans="1:12" x14ac:dyDescent="0.3">
      <c r="A33" s="12"/>
      <c r="B33" s="22" t="s">
        <v>45</v>
      </c>
      <c r="C33" s="14" t="s">
        <v>36</v>
      </c>
      <c r="D33" s="14" t="s">
        <v>43</v>
      </c>
      <c r="E33" s="14">
        <v>17</v>
      </c>
      <c r="F33" s="12">
        <f>E33*F11</f>
        <v>17</v>
      </c>
      <c r="G33" s="14">
        <v>7.5</v>
      </c>
      <c r="H33" s="12">
        <f t="shared" si="0"/>
        <v>127.5</v>
      </c>
      <c r="I33" s="38">
        <f t="shared" si="1"/>
        <v>127.5</v>
      </c>
      <c r="J33" s="39">
        <v>0.12</v>
      </c>
      <c r="K33" s="40">
        <f t="shared" si="2"/>
        <v>15.299999999999999</v>
      </c>
      <c r="L33" s="41">
        <f t="shared" si="3"/>
        <v>142.80000000000001</v>
      </c>
    </row>
    <row r="34" spans="1:12" x14ac:dyDescent="0.3">
      <c r="A34" s="12"/>
      <c r="B34" s="12"/>
      <c r="C34" s="14"/>
      <c r="D34" s="14"/>
      <c r="E34" s="14"/>
      <c r="F34" s="12"/>
      <c r="G34" s="14"/>
      <c r="H34" s="37"/>
      <c r="I34" s="38"/>
      <c r="J34" s="39"/>
      <c r="K34" s="40"/>
      <c r="L34" s="41"/>
    </row>
    <row r="35" spans="1:12" x14ac:dyDescent="0.3">
      <c r="A35" s="12" t="s">
        <v>47</v>
      </c>
      <c r="B35" s="12" t="s">
        <v>48</v>
      </c>
      <c r="C35" s="14" t="s">
        <v>36</v>
      </c>
      <c r="D35" s="14" t="s">
        <v>43</v>
      </c>
      <c r="E35" s="14">
        <v>1</v>
      </c>
      <c r="F35" s="41">
        <f>E35*F11</f>
        <v>1</v>
      </c>
      <c r="G35" s="14">
        <v>12</v>
      </c>
      <c r="H35" s="37">
        <f>E35*G35</f>
        <v>12</v>
      </c>
      <c r="I35" s="38">
        <f>F35*G35</f>
        <v>12</v>
      </c>
      <c r="J35" s="39">
        <v>0.12</v>
      </c>
      <c r="K35" s="40">
        <f>I35*J35</f>
        <v>1.44</v>
      </c>
      <c r="L35" s="41">
        <f>I35+K35</f>
        <v>13.44</v>
      </c>
    </row>
    <row r="36" spans="1:12" x14ac:dyDescent="0.3">
      <c r="A36" s="12"/>
      <c r="B36" s="12" t="s">
        <v>49</v>
      </c>
      <c r="C36" s="14" t="s">
        <v>36</v>
      </c>
      <c r="D36" s="14" t="s">
        <v>43</v>
      </c>
      <c r="E36" s="14">
        <v>1</v>
      </c>
      <c r="F36" s="41">
        <f>E36*F11</f>
        <v>1</v>
      </c>
      <c r="G36" s="14">
        <v>3.5</v>
      </c>
      <c r="H36" s="37">
        <f>E36*G36</f>
        <v>3.5</v>
      </c>
      <c r="I36" s="38">
        <f>F36*G36</f>
        <v>3.5</v>
      </c>
      <c r="J36" s="39">
        <v>0.12</v>
      </c>
      <c r="K36" s="40">
        <f>I36*J36</f>
        <v>0.42</v>
      </c>
      <c r="L36" s="41">
        <f>I36+K36</f>
        <v>3.92</v>
      </c>
    </row>
    <row r="37" spans="1:12" x14ac:dyDescent="0.3">
      <c r="A37" s="9"/>
      <c r="B37" s="12" t="s">
        <v>50</v>
      </c>
      <c r="C37" s="14" t="s">
        <v>36</v>
      </c>
      <c r="D37" s="14" t="s">
        <v>43</v>
      </c>
      <c r="E37" s="14">
        <v>1</v>
      </c>
      <c r="F37" s="41">
        <f>E37*F11</f>
        <v>1</v>
      </c>
      <c r="G37" s="14">
        <v>4</v>
      </c>
      <c r="H37" s="37">
        <v>4</v>
      </c>
      <c r="I37" s="38">
        <f>F37*G37</f>
        <v>4</v>
      </c>
      <c r="J37" s="39">
        <v>0.12</v>
      </c>
      <c r="K37" s="40">
        <f>I37*J37</f>
        <v>0.48</v>
      </c>
      <c r="L37" s="41">
        <f>I37+K37</f>
        <v>4.4800000000000004</v>
      </c>
    </row>
    <row r="38" spans="1:12" x14ac:dyDescent="0.3">
      <c r="A38" s="9"/>
      <c r="B38" s="12"/>
      <c r="C38" s="14"/>
      <c r="D38" s="14"/>
      <c r="E38" s="14"/>
      <c r="F38" s="41"/>
      <c r="G38" s="14"/>
      <c r="H38" s="12"/>
      <c r="I38" s="41"/>
      <c r="J38" s="39"/>
      <c r="K38" s="41"/>
      <c r="L38" s="41"/>
    </row>
    <row r="39" spans="1:12" ht="39.6" x14ac:dyDescent="0.3">
      <c r="A39" s="44" t="s">
        <v>51</v>
      </c>
      <c r="B39" s="21" t="s">
        <v>52</v>
      </c>
      <c r="C39" s="23" t="s">
        <v>36</v>
      </c>
      <c r="D39" s="23" t="s">
        <v>43</v>
      </c>
      <c r="E39" s="23">
        <v>1</v>
      </c>
      <c r="F39" s="45">
        <f>F11*E39</f>
        <v>1</v>
      </c>
      <c r="G39" s="23">
        <v>12</v>
      </c>
      <c r="H39" s="46">
        <f t="shared" ref="H39:H44" si="4">E39*G39</f>
        <v>12</v>
      </c>
      <c r="I39" s="47">
        <f t="shared" ref="I39:I43" si="5">F39*G39</f>
        <v>12</v>
      </c>
      <c r="J39" s="48">
        <v>0.18</v>
      </c>
      <c r="K39" s="49">
        <f t="shared" ref="K39:K44" si="6">I39*J39</f>
        <v>2.16</v>
      </c>
      <c r="L39" s="45">
        <f t="shared" ref="L39:L45" si="7">I39+K39</f>
        <v>14.16</v>
      </c>
    </row>
    <row r="40" spans="1:12" x14ac:dyDescent="0.3">
      <c r="A40" s="12"/>
      <c r="B40" s="12" t="s">
        <v>53</v>
      </c>
      <c r="C40" s="14" t="s">
        <v>36</v>
      </c>
      <c r="D40" s="14" t="s">
        <v>43</v>
      </c>
      <c r="E40" s="14">
        <v>1</v>
      </c>
      <c r="F40" s="41">
        <f>E40*F11</f>
        <v>1</v>
      </c>
      <c r="G40" s="14">
        <v>0</v>
      </c>
      <c r="H40" s="37">
        <f t="shared" si="4"/>
        <v>0</v>
      </c>
      <c r="I40" s="38">
        <f t="shared" si="5"/>
        <v>0</v>
      </c>
      <c r="J40" s="39">
        <v>0.18</v>
      </c>
      <c r="K40" s="40">
        <f t="shared" si="6"/>
        <v>0</v>
      </c>
      <c r="L40" s="41">
        <f t="shared" si="7"/>
        <v>0</v>
      </c>
    </row>
    <row r="41" spans="1:12" x14ac:dyDescent="0.3">
      <c r="A41" s="12"/>
      <c r="B41" s="12" t="s">
        <v>54</v>
      </c>
      <c r="C41" s="14" t="s">
        <v>36</v>
      </c>
      <c r="D41" s="14" t="s">
        <v>55</v>
      </c>
      <c r="E41" s="14">
        <v>1</v>
      </c>
      <c r="F41" s="41">
        <f>E41*F11</f>
        <v>1</v>
      </c>
      <c r="G41" s="14">
        <v>0</v>
      </c>
      <c r="H41" s="37">
        <f t="shared" si="4"/>
        <v>0</v>
      </c>
      <c r="I41" s="38">
        <f t="shared" si="5"/>
        <v>0</v>
      </c>
      <c r="J41" s="39">
        <v>0.18</v>
      </c>
      <c r="K41" s="40">
        <f t="shared" si="6"/>
        <v>0</v>
      </c>
      <c r="L41" s="41">
        <f t="shared" si="7"/>
        <v>0</v>
      </c>
    </row>
    <row r="42" spans="1:12" x14ac:dyDescent="0.3">
      <c r="A42" s="12"/>
      <c r="B42" s="12" t="s">
        <v>56</v>
      </c>
      <c r="C42" s="14" t="s">
        <v>36</v>
      </c>
      <c r="D42" s="14" t="s">
        <v>55</v>
      </c>
      <c r="E42" s="14">
        <v>0.2</v>
      </c>
      <c r="F42" s="41">
        <f>E42*F11</f>
        <v>0.2</v>
      </c>
      <c r="G42" s="14">
        <v>115</v>
      </c>
      <c r="H42" s="37">
        <v>15</v>
      </c>
      <c r="I42" s="38">
        <f>H42*F11</f>
        <v>15</v>
      </c>
      <c r="J42" s="39">
        <v>0.18</v>
      </c>
      <c r="K42" s="40">
        <f t="shared" si="6"/>
        <v>2.6999999999999997</v>
      </c>
      <c r="L42" s="41">
        <f t="shared" si="7"/>
        <v>17.7</v>
      </c>
    </row>
    <row r="43" spans="1:12" x14ac:dyDescent="0.3">
      <c r="A43" s="12"/>
      <c r="B43" s="12" t="s">
        <v>57</v>
      </c>
      <c r="C43" s="14" t="s">
        <v>36</v>
      </c>
      <c r="D43" s="14" t="s">
        <v>58</v>
      </c>
      <c r="E43" s="14">
        <v>2</v>
      </c>
      <c r="F43" s="41">
        <f>E43*F11</f>
        <v>2</v>
      </c>
      <c r="G43" s="14">
        <v>1.35</v>
      </c>
      <c r="H43" s="37">
        <f t="shared" si="4"/>
        <v>2.7</v>
      </c>
      <c r="I43" s="38">
        <f t="shared" si="5"/>
        <v>2.7</v>
      </c>
      <c r="J43" s="39">
        <v>0.18</v>
      </c>
      <c r="K43" s="40">
        <f t="shared" si="6"/>
        <v>0.48599999999999999</v>
      </c>
      <c r="L43" s="41">
        <f t="shared" si="7"/>
        <v>3.1859999999999999</v>
      </c>
    </row>
    <row r="44" spans="1:12" x14ac:dyDescent="0.3">
      <c r="A44" s="12"/>
      <c r="B44" s="12" t="s">
        <v>59</v>
      </c>
      <c r="C44" s="14" t="s">
        <v>36</v>
      </c>
      <c r="D44" s="14" t="s">
        <v>43</v>
      </c>
      <c r="E44" s="14">
        <v>7.0000000000000007E-2</v>
      </c>
      <c r="F44" s="41">
        <f>E44*F11</f>
        <v>7.0000000000000007E-2</v>
      </c>
      <c r="G44" s="14">
        <v>168</v>
      </c>
      <c r="H44" s="37">
        <f t="shared" si="4"/>
        <v>11.760000000000002</v>
      </c>
      <c r="I44" s="38">
        <f>F44*G44</f>
        <v>11.760000000000002</v>
      </c>
      <c r="J44" s="39">
        <v>0.18</v>
      </c>
      <c r="K44" s="40">
        <f t="shared" si="6"/>
        <v>2.1168</v>
      </c>
      <c r="L44" s="41">
        <f t="shared" si="7"/>
        <v>13.876800000000001</v>
      </c>
    </row>
    <row r="45" spans="1:12" x14ac:dyDescent="0.3">
      <c r="A45" s="12"/>
      <c r="B45" s="12" t="s">
        <v>60</v>
      </c>
      <c r="C45" s="14" t="s">
        <v>61</v>
      </c>
      <c r="D45" s="14" t="s">
        <v>62</v>
      </c>
      <c r="E45" s="14">
        <f>0.1</f>
        <v>0.1</v>
      </c>
      <c r="F45" s="41">
        <f>E45*F11</f>
        <v>0.1</v>
      </c>
      <c r="G45" s="14">
        <v>54</v>
      </c>
      <c r="H45" s="37">
        <f>E45*G45</f>
        <v>5.4</v>
      </c>
      <c r="I45" s="38">
        <f>F45*G45</f>
        <v>5.4</v>
      </c>
      <c r="J45" s="39">
        <v>0.18</v>
      </c>
      <c r="K45" s="40">
        <f>I45*J45</f>
        <v>0.97199999999999998</v>
      </c>
      <c r="L45" s="41">
        <f t="shared" si="7"/>
        <v>6.3719999999999999</v>
      </c>
    </row>
    <row r="46" spans="1:12" x14ac:dyDescent="0.3">
      <c r="A46" s="12"/>
      <c r="B46" s="12"/>
      <c r="C46" s="14"/>
      <c r="D46" s="14"/>
      <c r="E46" s="14"/>
      <c r="F46" s="41"/>
      <c r="G46" s="14"/>
      <c r="H46" s="50">
        <f>SUM(H16:H45)</f>
        <v>522.37812499999995</v>
      </c>
      <c r="I46" s="50">
        <f>SUM(I16:I45)</f>
        <v>507.37812499999995</v>
      </c>
      <c r="J46" s="51"/>
      <c r="K46" s="52">
        <f>SUM(K16:K45)</f>
        <v>67.5236625</v>
      </c>
      <c r="L46" s="53">
        <f>SUM(L16:L45)</f>
        <v>574.90178750000007</v>
      </c>
    </row>
    <row r="47" spans="1:12" x14ac:dyDescent="0.3">
      <c r="A47" s="12" t="s">
        <v>63</v>
      </c>
      <c r="B47" s="12" t="s">
        <v>64</v>
      </c>
      <c r="C47" s="15"/>
      <c r="D47" s="14" t="s">
        <v>43</v>
      </c>
      <c r="E47" s="14">
        <f>C47*1%</f>
        <v>0</v>
      </c>
      <c r="F47" s="41">
        <f>F11</f>
        <v>1</v>
      </c>
      <c r="G47" s="14">
        <f>E47</f>
        <v>0</v>
      </c>
      <c r="H47" s="38">
        <f>G47</f>
        <v>0</v>
      </c>
      <c r="I47" s="38">
        <f>H47*F47</f>
        <v>0</v>
      </c>
      <c r="J47" s="39">
        <v>0.18</v>
      </c>
      <c r="K47" s="40">
        <f t="shared" ref="K47:K55" si="8">I47*J47</f>
        <v>0</v>
      </c>
      <c r="L47" s="41">
        <f t="shared" ref="L47:L55" si="9">I47+K47</f>
        <v>0</v>
      </c>
    </row>
    <row r="48" spans="1:12" x14ac:dyDescent="0.3">
      <c r="A48" s="12"/>
      <c r="B48" s="12" t="s">
        <v>65</v>
      </c>
      <c r="C48" s="15"/>
      <c r="D48" s="14" t="s">
        <v>43</v>
      </c>
      <c r="E48" s="14">
        <f>C48*1%</f>
        <v>0</v>
      </c>
      <c r="F48" s="41">
        <f>F11</f>
        <v>1</v>
      </c>
      <c r="G48" s="14">
        <f>E48</f>
        <v>0</v>
      </c>
      <c r="H48" s="38">
        <f>G48</f>
        <v>0</v>
      </c>
      <c r="I48" s="38">
        <f>H48*F48</f>
        <v>0</v>
      </c>
      <c r="J48" s="39">
        <v>0.18</v>
      </c>
      <c r="K48" s="40">
        <f t="shared" si="8"/>
        <v>0</v>
      </c>
      <c r="L48" s="41">
        <f t="shared" si="9"/>
        <v>0</v>
      </c>
    </row>
    <row r="49" spans="1:12" x14ac:dyDescent="0.3">
      <c r="A49" s="12"/>
      <c r="B49" s="12" t="s">
        <v>66</v>
      </c>
      <c r="C49" s="15"/>
      <c r="D49" s="14" t="s">
        <v>43</v>
      </c>
      <c r="E49" s="14">
        <f>C49*5%</f>
        <v>0</v>
      </c>
      <c r="F49" s="41">
        <f>F11</f>
        <v>1</v>
      </c>
      <c r="G49" s="14">
        <f t="shared" ref="G49:G54" si="10">E49</f>
        <v>0</v>
      </c>
      <c r="H49" s="38">
        <f t="shared" ref="H49:H54" si="11">G49</f>
        <v>0</v>
      </c>
      <c r="I49" s="38">
        <f>H49*F49</f>
        <v>0</v>
      </c>
      <c r="J49" s="39"/>
      <c r="K49" s="40">
        <f t="shared" si="8"/>
        <v>0</v>
      </c>
      <c r="L49" s="41">
        <f t="shared" si="9"/>
        <v>0</v>
      </c>
    </row>
    <row r="50" spans="1:12" x14ac:dyDescent="0.3">
      <c r="A50" s="12"/>
      <c r="B50" s="12" t="s">
        <v>67</v>
      </c>
      <c r="C50" s="15"/>
      <c r="D50" s="14" t="s">
        <v>43</v>
      </c>
      <c r="E50" s="14">
        <f>C50*7%</f>
        <v>0</v>
      </c>
      <c r="F50" s="41">
        <f>F11</f>
        <v>1</v>
      </c>
      <c r="G50" s="14">
        <f t="shared" si="10"/>
        <v>0</v>
      </c>
      <c r="H50" s="38">
        <f t="shared" si="11"/>
        <v>0</v>
      </c>
      <c r="I50" s="38">
        <f>H50*F50</f>
        <v>0</v>
      </c>
      <c r="J50" s="12"/>
      <c r="K50" s="40">
        <f t="shared" si="8"/>
        <v>0</v>
      </c>
      <c r="L50" s="41">
        <f t="shared" si="9"/>
        <v>0</v>
      </c>
    </row>
    <row r="51" spans="1:12" x14ac:dyDescent="0.3">
      <c r="A51" s="9" t="s">
        <v>68</v>
      </c>
      <c r="B51" s="12" t="s">
        <v>69</v>
      </c>
      <c r="C51" s="15"/>
      <c r="D51" s="14" t="s">
        <v>43</v>
      </c>
      <c r="E51" s="14">
        <f>C51*2.5%</f>
        <v>0</v>
      </c>
      <c r="F51" s="41">
        <f>F11</f>
        <v>1</v>
      </c>
      <c r="G51" s="14">
        <f t="shared" si="10"/>
        <v>0</v>
      </c>
      <c r="H51" s="38">
        <f t="shared" si="11"/>
        <v>0</v>
      </c>
      <c r="I51" s="38">
        <f t="shared" ref="I51:I55" si="12">H51*F51</f>
        <v>0</v>
      </c>
      <c r="J51" s="12"/>
      <c r="K51" s="40">
        <f t="shared" si="8"/>
        <v>0</v>
      </c>
      <c r="L51" s="41">
        <f t="shared" si="9"/>
        <v>0</v>
      </c>
    </row>
    <row r="52" spans="1:12" x14ac:dyDescent="0.3">
      <c r="A52" s="12"/>
      <c r="B52" s="12" t="s">
        <v>70</v>
      </c>
      <c r="C52" s="15"/>
      <c r="D52" s="14" t="s">
        <v>43</v>
      </c>
      <c r="E52" s="14">
        <f>C52*2%</f>
        <v>0</v>
      </c>
      <c r="F52" s="41">
        <f>F11</f>
        <v>1</v>
      </c>
      <c r="G52" s="14">
        <f t="shared" si="10"/>
        <v>0</v>
      </c>
      <c r="H52" s="38">
        <f t="shared" si="11"/>
        <v>0</v>
      </c>
      <c r="I52" s="38">
        <f t="shared" si="12"/>
        <v>0</v>
      </c>
      <c r="J52" s="12"/>
      <c r="K52" s="40">
        <f t="shared" si="8"/>
        <v>0</v>
      </c>
      <c r="L52" s="41">
        <f t="shared" si="9"/>
        <v>0</v>
      </c>
    </row>
    <row r="53" spans="1:12" x14ac:dyDescent="0.3">
      <c r="A53" s="12"/>
      <c r="B53" s="12" t="s">
        <v>71</v>
      </c>
      <c r="C53" s="15"/>
      <c r="D53" s="14" t="s">
        <v>43</v>
      </c>
      <c r="E53" s="14">
        <v>1200</v>
      </c>
      <c r="F53" s="41">
        <f>F11</f>
        <v>1</v>
      </c>
      <c r="G53" s="14">
        <f t="shared" si="10"/>
        <v>1200</v>
      </c>
      <c r="H53" s="38">
        <f t="shared" si="11"/>
        <v>1200</v>
      </c>
      <c r="I53" s="38">
        <f t="shared" si="12"/>
        <v>1200</v>
      </c>
      <c r="J53" s="12"/>
      <c r="K53" s="40">
        <f t="shared" si="8"/>
        <v>0</v>
      </c>
      <c r="L53" s="41">
        <f t="shared" si="9"/>
        <v>1200</v>
      </c>
    </row>
    <row r="54" spans="1:12" x14ac:dyDescent="0.3">
      <c r="A54" s="12"/>
      <c r="B54" s="12" t="s">
        <v>240</v>
      </c>
      <c r="C54" s="15">
        <f>B60</f>
        <v>6290</v>
      </c>
      <c r="D54" s="14" t="s">
        <v>43</v>
      </c>
      <c r="E54" s="14">
        <f>C54*3%</f>
        <v>188.7</v>
      </c>
      <c r="F54" s="41">
        <f>F11</f>
        <v>1</v>
      </c>
      <c r="G54" s="14">
        <f t="shared" si="10"/>
        <v>188.7</v>
      </c>
      <c r="H54" s="38">
        <f t="shared" si="11"/>
        <v>188.7</v>
      </c>
      <c r="I54" s="38">
        <f t="shared" si="12"/>
        <v>188.7</v>
      </c>
      <c r="J54" s="12"/>
      <c r="K54" s="40">
        <f t="shared" si="8"/>
        <v>0</v>
      </c>
      <c r="L54" s="41">
        <f t="shared" si="9"/>
        <v>188.7</v>
      </c>
    </row>
    <row r="55" spans="1:12" x14ac:dyDescent="0.3">
      <c r="A55" s="12" t="s">
        <v>73</v>
      </c>
      <c r="B55" s="54" t="s">
        <v>74</v>
      </c>
      <c r="C55" s="55"/>
      <c r="D55" s="55" t="s">
        <v>43</v>
      </c>
      <c r="E55" s="55">
        <v>420</v>
      </c>
      <c r="F55" s="41">
        <f>F11</f>
        <v>1</v>
      </c>
      <c r="G55" s="55">
        <v>420</v>
      </c>
      <c r="H55" s="56">
        <v>420</v>
      </c>
      <c r="I55" s="38">
        <f t="shared" si="12"/>
        <v>420</v>
      </c>
      <c r="J55" s="54"/>
      <c r="K55" s="57">
        <f t="shared" si="8"/>
        <v>0</v>
      </c>
      <c r="L55" s="58">
        <f t="shared" si="9"/>
        <v>420</v>
      </c>
    </row>
    <row r="56" spans="1:12" x14ac:dyDescent="0.3">
      <c r="A56" s="2"/>
      <c r="B56" s="2"/>
      <c r="C56" s="1"/>
      <c r="D56" s="1"/>
      <c r="E56" s="1"/>
      <c r="F56" s="59">
        <f>F11</f>
        <v>1</v>
      </c>
      <c r="G56" s="1"/>
      <c r="H56" s="59">
        <f>SUM(H46:H55)</f>
        <v>2331.078125</v>
      </c>
      <c r="I56" s="59">
        <f>SUM(I46:I55)</f>
        <v>2316.078125</v>
      </c>
      <c r="J56" s="60"/>
      <c r="K56" s="59">
        <f>SUM(K46:K55)</f>
        <v>67.5236625</v>
      </c>
      <c r="L56" s="59">
        <f>SUM(L46:L55)</f>
        <v>2383.6017874999998</v>
      </c>
    </row>
    <row r="57" spans="1:12" x14ac:dyDescent="0.3">
      <c r="A57" s="2"/>
      <c r="B57" s="2"/>
      <c r="C57" s="1"/>
      <c r="D57" s="1"/>
      <c r="E57" s="1"/>
      <c r="F57" s="2"/>
      <c r="G57" s="1"/>
      <c r="H57" s="61"/>
      <c r="I57" s="61"/>
    </row>
    <row r="58" spans="1:12" ht="46.2" customHeight="1" x14ac:dyDescent="0.3">
      <c r="A58" s="2"/>
      <c r="B58" s="2"/>
      <c r="C58" s="1"/>
      <c r="D58" s="1"/>
      <c r="E58" s="1"/>
      <c r="F58" s="2"/>
      <c r="G58" s="62" t="s">
        <v>75</v>
      </c>
      <c r="H58" s="2"/>
      <c r="I58" s="2"/>
      <c r="J58" s="2"/>
      <c r="K58" s="61"/>
      <c r="L58" s="2"/>
    </row>
    <row r="59" spans="1:12" ht="18" x14ac:dyDescent="0.35">
      <c r="A59" s="63" t="s">
        <v>76</v>
      </c>
      <c r="B59" s="64">
        <v>74</v>
      </c>
      <c r="C59" s="122" t="s">
        <v>77</v>
      </c>
      <c r="D59" s="122"/>
      <c r="E59" s="122"/>
      <c r="F59" s="122"/>
      <c r="G59" s="65">
        <f>G13</f>
        <v>4037.5</v>
      </c>
      <c r="H59" s="1"/>
      <c r="I59" s="1"/>
      <c r="J59" s="2"/>
      <c r="K59" s="2"/>
      <c r="L59" s="2"/>
    </row>
    <row r="60" spans="1:12" ht="18" x14ac:dyDescent="0.35">
      <c r="A60" s="63">
        <v>85</v>
      </c>
      <c r="B60" s="63">
        <f>B59*A60</f>
        <v>6290</v>
      </c>
      <c r="C60" s="122" t="s">
        <v>78</v>
      </c>
      <c r="D60" s="122"/>
      <c r="E60" s="122"/>
      <c r="F60" s="122"/>
      <c r="G60" s="65">
        <f>I56/F11</f>
        <v>2316.078125</v>
      </c>
      <c r="H60" s="1"/>
      <c r="I60" s="1"/>
      <c r="J60" s="2"/>
      <c r="K60" s="2"/>
      <c r="L60" s="2"/>
    </row>
    <row r="61" spans="1:12" x14ac:dyDescent="0.3">
      <c r="A61" s="2"/>
      <c r="B61" s="2"/>
      <c r="C61" s="130" t="s">
        <v>79</v>
      </c>
      <c r="D61" s="130"/>
      <c r="E61" s="130"/>
      <c r="F61" s="130"/>
      <c r="G61" s="67">
        <f>SUM(G59:G60)</f>
        <v>6353.578125</v>
      </c>
      <c r="H61" s="1"/>
      <c r="I61" s="1"/>
      <c r="J61" s="2"/>
      <c r="K61" s="2"/>
      <c r="L61" s="2"/>
    </row>
    <row r="62" spans="1:12" ht="14.4" customHeight="1" x14ac:dyDescent="0.35">
      <c r="A62" s="63" t="s">
        <v>76</v>
      </c>
      <c r="B62" s="64">
        <f>H63</f>
        <v>66.879769736842107</v>
      </c>
      <c r="C62" s="2"/>
      <c r="G62" s="1"/>
      <c r="H62" s="1"/>
      <c r="I62" s="1"/>
      <c r="J62" s="2"/>
      <c r="K62" s="2"/>
      <c r="L62" s="2"/>
    </row>
    <row r="63" spans="1:12" ht="14.4" customHeight="1" x14ac:dyDescent="0.35">
      <c r="A63" s="63">
        <v>95</v>
      </c>
      <c r="B63" s="64">
        <f>B62*A63</f>
        <v>6353.578125</v>
      </c>
      <c r="C63" s="2"/>
      <c r="G63" s="68">
        <f>G61/A60</f>
        <v>74.747977941176472</v>
      </c>
      <c r="H63" s="69">
        <f>G61/A63</f>
        <v>66.879769736842107</v>
      </c>
      <c r="I63" s="1"/>
      <c r="J63" s="2"/>
      <c r="K63" s="2"/>
      <c r="L63" s="2"/>
    </row>
    <row r="64" spans="1:12" ht="14.4" customHeight="1" x14ac:dyDescent="0.3">
      <c r="A64" s="2"/>
      <c r="B64" s="109"/>
      <c r="D64" s="70" t="s">
        <v>80</v>
      </c>
      <c r="E64" s="1"/>
      <c r="F64" s="71"/>
      <c r="G64" s="71"/>
      <c r="H64" s="1"/>
      <c r="I64" s="1"/>
      <c r="J64" s="2"/>
      <c r="K64" s="2"/>
      <c r="L64" s="2"/>
    </row>
    <row r="65" spans="1:12" ht="14.4" customHeight="1" x14ac:dyDescent="0.3">
      <c r="A65" s="2"/>
      <c r="B65" s="109"/>
      <c r="D65" s="72" t="s">
        <v>81</v>
      </c>
      <c r="E65" s="73">
        <f>I56/F56</f>
        <v>2316.078125</v>
      </c>
      <c r="F65" s="74" t="s">
        <v>20</v>
      </c>
      <c r="G65" s="71"/>
      <c r="H65" s="1"/>
      <c r="I65" s="1"/>
      <c r="J65" s="2"/>
      <c r="K65" s="2"/>
      <c r="L65" s="2"/>
    </row>
    <row r="66" spans="1:12" x14ac:dyDescent="0.3">
      <c r="A66" s="2"/>
      <c r="B66" s="75"/>
      <c r="C66" s="2"/>
      <c r="D66" s="72" t="s">
        <v>21</v>
      </c>
      <c r="E66" s="73">
        <f>L56/F56</f>
        <v>2383.6017874999998</v>
      </c>
      <c r="F66" s="74" t="s">
        <v>20</v>
      </c>
      <c r="G66" s="71"/>
      <c r="H66" s="1"/>
      <c r="I66" s="1"/>
      <c r="J66" s="2"/>
      <c r="K66" s="2"/>
      <c r="L66" s="2"/>
    </row>
    <row r="67" spans="1:12" x14ac:dyDescent="0.3">
      <c r="A67" s="2"/>
      <c r="B67" s="2"/>
      <c r="C67" s="1"/>
      <c r="D67" s="76"/>
      <c r="E67" s="71"/>
      <c r="F67" s="71"/>
      <c r="G67" s="1"/>
      <c r="H67" s="2"/>
      <c r="I67" s="2"/>
      <c r="J67" s="2"/>
      <c r="K67" s="2"/>
      <c r="L67" s="2"/>
    </row>
    <row r="68" spans="1:12" x14ac:dyDescent="0.3">
      <c r="D68" s="77" t="s">
        <v>21</v>
      </c>
      <c r="E68" s="78"/>
      <c r="F68" s="79" t="s">
        <v>19</v>
      </c>
    </row>
    <row r="69" spans="1:12" x14ac:dyDescent="0.3">
      <c r="B69" s="122" t="s">
        <v>82</v>
      </c>
      <c r="C69" s="122"/>
      <c r="D69" s="65">
        <f>G14</f>
        <v>4522</v>
      </c>
      <c r="E69" s="75"/>
      <c r="F69" s="80">
        <f>G13</f>
        <v>4037.5</v>
      </c>
    </row>
    <row r="70" spans="1:12" x14ac:dyDescent="0.3">
      <c r="B70" s="124" t="s">
        <v>83</v>
      </c>
      <c r="C70" s="125"/>
      <c r="D70" s="65">
        <f>E66</f>
        <v>2383.6017874999998</v>
      </c>
      <c r="E70" s="75"/>
      <c r="F70" s="80">
        <f>E65</f>
        <v>2316.078125</v>
      </c>
    </row>
    <row r="71" spans="1:12" x14ac:dyDescent="0.3">
      <c r="B71" s="66" t="s">
        <v>79</v>
      </c>
      <c r="C71" s="66"/>
      <c r="D71" s="67">
        <f>SUM(D69:D70)</f>
        <v>6905.6017874999998</v>
      </c>
      <c r="E71" s="78"/>
      <c r="F71" s="81">
        <f>SUM(F69:F70)</f>
        <v>6353.578125</v>
      </c>
    </row>
    <row r="72" spans="1:12" x14ac:dyDescent="0.3">
      <c r="D72" s="82"/>
      <c r="E72" s="1"/>
      <c r="F72" s="71"/>
    </row>
    <row r="73" spans="1:12" x14ac:dyDescent="0.3">
      <c r="D73" s="68">
        <f>D71/A60</f>
        <v>81.242373970588233</v>
      </c>
      <c r="E73" s="1"/>
      <c r="F73" s="68">
        <f>F71/A60</f>
        <v>74.747977941176472</v>
      </c>
    </row>
    <row r="80" spans="1:12" x14ac:dyDescent="0.3">
      <c r="D80" s="43"/>
    </row>
    <row r="81" spans="4:4" x14ac:dyDescent="0.3">
      <c r="D81" s="43"/>
    </row>
    <row r="82" spans="4:4" x14ac:dyDescent="0.3">
      <c r="D82" s="43"/>
    </row>
    <row r="83" spans="4:4" x14ac:dyDescent="0.3">
      <c r="D83" s="43"/>
    </row>
    <row r="84" spans="4:4" x14ac:dyDescent="0.3">
      <c r="D84" s="43"/>
    </row>
  </sheetData>
  <mergeCells count="13">
    <mergeCell ref="B70:C70"/>
    <mergeCell ref="D13:E13"/>
    <mergeCell ref="D14:E14"/>
    <mergeCell ref="C59:F59"/>
    <mergeCell ref="C60:F60"/>
    <mergeCell ref="C61:F61"/>
    <mergeCell ref="B69:C69"/>
    <mergeCell ref="L7:L8"/>
    <mergeCell ref="A1:F1"/>
    <mergeCell ref="A2:F2"/>
    <mergeCell ref="A3:F3"/>
    <mergeCell ref="A5:F5"/>
    <mergeCell ref="J7:K7"/>
  </mergeCells>
  <pageMargins left="0.11811023622047245" right="0.11811023622047245" top="0.15748031496062992" bottom="0.15748031496062992" header="0.31496062992125984" footer="0.31496062992125984"/>
  <pageSetup paperSize="9" scale="95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56F23-5C1A-42EC-A1F8-1A0210F82B4B}">
  <dimension ref="A1:N85"/>
  <sheetViews>
    <sheetView tabSelected="1" workbookViewId="0">
      <selection activeCell="J67" sqref="J67"/>
    </sheetView>
  </sheetViews>
  <sheetFormatPr defaultRowHeight="14.4" x14ac:dyDescent="0.3"/>
  <cols>
    <col min="1" max="1" width="9.88671875" bestFit="1" customWidth="1"/>
    <col min="2" max="2" width="46.44140625" bestFit="1" customWidth="1"/>
    <col min="3" max="3" width="13.109375" bestFit="1" customWidth="1"/>
    <col min="4" max="4" width="10.33203125" bestFit="1" customWidth="1"/>
    <col min="5" max="5" width="8.21875" bestFit="1" customWidth="1"/>
    <col min="6" max="6" width="8.5546875" bestFit="1" customWidth="1"/>
    <col min="7" max="7" width="9.6640625" style="43" customWidth="1"/>
    <col min="8" max="8" width="7.88671875" bestFit="1" customWidth="1"/>
    <col min="9" max="9" width="10.44140625" bestFit="1" customWidth="1"/>
    <col min="10" max="10" width="5.44140625" bestFit="1" customWidth="1"/>
    <col min="11" max="11" width="9.44140625" bestFit="1" customWidth="1"/>
    <col min="12" max="12" width="10.44140625" bestFit="1" customWidth="1"/>
    <col min="13" max="13" width="5" bestFit="1" customWidth="1"/>
    <col min="14" max="14" width="7" bestFit="1" customWidth="1"/>
  </cols>
  <sheetData>
    <row r="1" spans="1:12" x14ac:dyDescent="0.3">
      <c r="A1" s="114" t="s">
        <v>0</v>
      </c>
      <c r="B1" s="115"/>
      <c r="C1" s="115"/>
      <c r="D1" s="115"/>
      <c r="E1" s="115"/>
      <c r="F1" s="115"/>
      <c r="G1" s="1"/>
      <c r="H1" s="2"/>
      <c r="I1" s="2"/>
      <c r="J1" s="2"/>
      <c r="K1" s="2"/>
      <c r="L1" s="2"/>
    </row>
    <row r="2" spans="1:12" x14ac:dyDescent="0.3">
      <c r="A2" s="114" t="s">
        <v>1</v>
      </c>
      <c r="B2" s="115"/>
      <c r="C2" s="115"/>
      <c r="D2" s="115"/>
      <c r="E2" s="115"/>
      <c r="F2" s="115"/>
      <c r="G2" s="1"/>
      <c r="H2" s="2"/>
      <c r="I2" s="2"/>
      <c r="J2" s="2"/>
      <c r="K2" s="2"/>
      <c r="L2" s="2"/>
    </row>
    <row r="3" spans="1:12" ht="18" x14ac:dyDescent="0.35">
      <c r="A3" s="116" t="s">
        <v>247</v>
      </c>
      <c r="B3" s="116"/>
      <c r="C3" s="116"/>
      <c r="D3" s="116"/>
      <c r="E3" s="116"/>
      <c r="F3" s="116"/>
      <c r="G3" s="3"/>
      <c r="H3" s="4"/>
      <c r="I3" s="4"/>
      <c r="J3" s="4"/>
      <c r="K3" s="4"/>
      <c r="L3" s="4"/>
    </row>
    <row r="4" spans="1:12" x14ac:dyDescent="0.3">
      <c r="G4" s="1"/>
      <c r="H4" s="2"/>
      <c r="I4" s="2"/>
      <c r="J4" s="2"/>
      <c r="K4" s="2"/>
      <c r="L4" s="2"/>
    </row>
    <row r="5" spans="1:12" ht="21" x14ac:dyDescent="0.4">
      <c r="A5" s="128" t="s">
        <v>2</v>
      </c>
      <c r="B5" s="129"/>
      <c r="C5" s="129"/>
      <c r="D5" s="129"/>
      <c r="E5" s="129"/>
      <c r="F5" s="129"/>
      <c r="G5" s="1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1"/>
      <c r="H6" s="2"/>
      <c r="I6" s="2"/>
      <c r="J6" s="2"/>
      <c r="K6" s="2"/>
      <c r="L6" s="2"/>
    </row>
    <row r="7" spans="1:12" ht="24" x14ac:dyDescent="0.3">
      <c r="A7" s="5" t="s">
        <v>3</v>
      </c>
      <c r="B7" s="6" t="s">
        <v>4</v>
      </c>
      <c r="C7" s="7" t="s">
        <v>5</v>
      </c>
      <c r="D7" s="7" t="s">
        <v>6</v>
      </c>
      <c r="E7" s="7" t="s">
        <v>7</v>
      </c>
      <c r="F7" s="6" t="s">
        <v>8</v>
      </c>
      <c r="G7" s="7" t="s">
        <v>9</v>
      </c>
      <c r="H7" s="8" t="s">
        <v>10</v>
      </c>
      <c r="I7" s="7" t="s">
        <v>11</v>
      </c>
      <c r="J7" s="117" t="s">
        <v>12</v>
      </c>
      <c r="K7" s="118"/>
      <c r="L7" s="119" t="s">
        <v>13</v>
      </c>
    </row>
    <row r="8" spans="1:12" x14ac:dyDescent="0.3">
      <c r="A8" s="9" t="s">
        <v>14</v>
      </c>
      <c r="B8" s="99"/>
      <c r="C8" s="10"/>
      <c r="D8" s="10"/>
      <c r="E8" s="10"/>
      <c r="F8" s="9"/>
      <c r="G8" s="10"/>
      <c r="H8" s="10"/>
      <c r="I8" s="10"/>
      <c r="J8" s="10" t="s">
        <v>15</v>
      </c>
      <c r="K8" s="11" t="s">
        <v>11</v>
      </c>
      <c r="L8" s="119"/>
    </row>
    <row r="9" spans="1:12" x14ac:dyDescent="0.3">
      <c r="A9" s="12"/>
      <c r="B9" s="99" t="s">
        <v>172</v>
      </c>
      <c r="C9" s="10" t="s">
        <v>119</v>
      </c>
      <c r="D9" s="14" t="s">
        <v>17</v>
      </c>
      <c r="E9" s="15">
        <v>135</v>
      </c>
      <c r="F9" s="15">
        <f>E9*F11</f>
        <v>135</v>
      </c>
      <c r="G9" s="14">
        <v>9.5</v>
      </c>
      <c r="H9" s="16">
        <f>F9*G9</f>
        <v>1282.5</v>
      </c>
      <c r="I9" s="17">
        <f>F9*G9</f>
        <v>1282.5</v>
      </c>
      <c r="J9" s="18">
        <v>0.12</v>
      </c>
      <c r="K9" s="19">
        <f>I9*J9</f>
        <v>153.9</v>
      </c>
      <c r="L9" s="15">
        <f>I9+K9</f>
        <v>1436.4</v>
      </c>
    </row>
    <row r="10" spans="1:12" x14ac:dyDescent="0.3">
      <c r="A10" s="12"/>
      <c r="B10" s="99"/>
      <c r="C10" s="20"/>
      <c r="D10" s="14"/>
      <c r="E10" s="15"/>
      <c r="F10" s="15"/>
      <c r="G10" s="14"/>
      <c r="H10" s="16"/>
      <c r="I10" s="17"/>
      <c r="J10" s="18"/>
      <c r="K10" s="19"/>
      <c r="L10" s="15"/>
    </row>
    <row r="11" spans="1:12" ht="18" x14ac:dyDescent="0.3">
      <c r="A11" s="21"/>
      <c r="B11" s="13" t="s">
        <v>157</v>
      </c>
      <c r="E11" s="23"/>
      <c r="F11" s="24">
        <v>1</v>
      </c>
      <c r="G11" s="23"/>
      <c r="H11" s="25">
        <f>SUM(H9:H10)</f>
        <v>1282.5</v>
      </c>
      <c r="I11" s="26">
        <f>SUM(I9:I10)</f>
        <v>1282.5</v>
      </c>
      <c r="J11" s="27"/>
      <c r="K11" s="28">
        <f>SUM(K9:K10)</f>
        <v>153.9</v>
      </c>
      <c r="L11" s="29">
        <f>SUM(L9:L10)</f>
        <v>1436.4</v>
      </c>
    </row>
    <row r="12" spans="1:12" x14ac:dyDescent="0.3">
      <c r="A12" s="12"/>
      <c r="B12" s="12"/>
      <c r="C12" s="14"/>
      <c r="D12" s="120" t="s">
        <v>19</v>
      </c>
      <c r="E12" s="121"/>
      <c r="F12" s="35" t="s">
        <v>20</v>
      </c>
      <c r="G12" s="36">
        <f>I11/F11</f>
        <v>1282.5</v>
      </c>
      <c r="H12" s="37"/>
      <c r="I12" s="38"/>
      <c r="J12" s="39"/>
      <c r="K12" s="40"/>
      <c r="L12" s="41"/>
    </row>
    <row r="13" spans="1:12" x14ac:dyDescent="0.3">
      <c r="A13" s="12"/>
      <c r="B13" s="12"/>
      <c r="C13" s="14"/>
      <c r="D13" s="120" t="s">
        <v>21</v>
      </c>
      <c r="E13" s="121"/>
      <c r="F13" s="35" t="s">
        <v>20</v>
      </c>
      <c r="G13" s="36">
        <f>L11/F11</f>
        <v>1436.4</v>
      </c>
      <c r="H13" s="37"/>
      <c r="I13" s="38"/>
      <c r="J13" s="39"/>
      <c r="K13" s="40"/>
      <c r="L13" s="41"/>
    </row>
    <row r="14" spans="1:12" x14ac:dyDescent="0.3">
      <c r="A14" s="9" t="s">
        <v>22</v>
      </c>
      <c r="B14" s="42"/>
      <c r="C14" s="14"/>
      <c r="D14" s="14"/>
      <c r="E14" s="14"/>
      <c r="F14" s="41"/>
      <c r="G14" s="14"/>
      <c r="H14" s="37"/>
      <c r="I14" s="38"/>
      <c r="J14" s="39"/>
      <c r="K14" s="40"/>
      <c r="L14" s="41"/>
    </row>
    <row r="15" spans="1:12" x14ac:dyDescent="0.3">
      <c r="A15" s="9"/>
      <c r="B15" s="42" t="s">
        <v>158</v>
      </c>
      <c r="C15" s="14" t="s">
        <v>159</v>
      </c>
      <c r="D15" s="14" t="s">
        <v>24</v>
      </c>
      <c r="E15" s="14">
        <v>0.5</v>
      </c>
      <c r="F15" s="41">
        <f>E15*F11</f>
        <v>0.5</v>
      </c>
      <c r="G15" s="14">
        <v>100</v>
      </c>
      <c r="H15" s="37">
        <f>E15*G15</f>
        <v>50</v>
      </c>
      <c r="I15" s="38">
        <f>F15*G15</f>
        <v>50</v>
      </c>
      <c r="J15" s="39">
        <v>0.12</v>
      </c>
      <c r="K15" s="40">
        <f>I15*J15</f>
        <v>6</v>
      </c>
      <c r="L15" s="41">
        <f>I15+K15</f>
        <v>56</v>
      </c>
    </row>
    <row r="16" spans="1:12" x14ac:dyDescent="0.3">
      <c r="A16" s="9"/>
      <c r="B16" s="42" t="s">
        <v>171</v>
      </c>
      <c r="C16" s="14" t="s">
        <v>164</v>
      </c>
      <c r="D16" s="14" t="s">
        <v>43</v>
      </c>
      <c r="E16" s="14">
        <v>1</v>
      </c>
      <c r="F16" s="41">
        <f>E16*F11</f>
        <v>1</v>
      </c>
      <c r="G16" s="14">
        <v>1000</v>
      </c>
      <c r="H16" s="37">
        <f>E16*G16</f>
        <v>1000</v>
      </c>
      <c r="I16" s="38">
        <f>F16*G16</f>
        <v>1000</v>
      </c>
      <c r="J16" s="39">
        <v>0.12</v>
      </c>
      <c r="K16" s="40">
        <f>I16*J16</f>
        <v>120</v>
      </c>
      <c r="L16" s="41">
        <f>I16+K16</f>
        <v>1120</v>
      </c>
    </row>
    <row r="17" spans="1:14" x14ac:dyDescent="0.3">
      <c r="A17" s="9"/>
      <c r="B17" s="42"/>
      <c r="C17" s="14"/>
      <c r="D17" s="14"/>
      <c r="E17" s="14"/>
      <c r="F17" s="41"/>
      <c r="G17" s="14"/>
      <c r="H17" s="37"/>
      <c r="I17" s="38"/>
      <c r="J17" s="39"/>
      <c r="K17" s="40"/>
      <c r="L17" s="41"/>
    </row>
    <row r="18" spans="1:14" x14ac:dyDescent="0.3">
      <c r="A18" s="9"/>
      <c r="B18" s="42"/>
      <c r="C18" s="14"/>
      <c r="D18" s="14"/>
      <c r="E18" s="14"/>
      <c r="F18" s="41"/>
      <c r="G18" s="14"/>
      <c r="H18" s="37"/>
      <c r="I18" s="38"/>
      <c r="J18" s="39"/>
      <c r="K18" s="40"/>
      <c r="L18" s="41"/>
    </row>
    <row r="19" spans="1:14" x14ac:dyDescent="0.3">
      <c r="A19" s="9" t="s">
        <v>26</v>
      </c>
      <c r="B19" s="12" t="s">
        <v>27</v>
      </c>
      <c r="C19" s="14" t="str">
        <f>C9</f>
        <v>CHOCOLATE</v>
      </c>
      <c r="D19" s="14" t="s">
        <v>28</v>
      </c>
      <c r="E19" s="14">
        <v>100</v>
      </c>
      <c r="F19" s="41">
        <f>E19*F11</f>
        <v>100</v>
      </c>
      <c r="G19" s="14">
        <v>125</v>
      </c>
      <c r="H19" s="37">
        <f>F19/1000*G19/F11</f>
        <v>12.5</v>
      </c>
      <c r="I19" s="38">
        <f>F19/1000*G19</f>
        <v>12.5</v>
      </c>
      <c r="J19" s="39">
        <v>0.12</v>
      </c>
      <c r="K19" s="40">
        <f>I19*J19</f>
        <v>1.5</v>
      </c>
      <c r="L19" s="41">
        <f>I19+K19</f>
        <v>14</v>
      </c>
    </row>
    <row r="20" spans="1:14" x14ac:dyDescent="0.3">
      <c r="A20" s="9"/>
      <c r="B20" s="12" t="s">
        <v>29</v>
      </c>
      <c r="C20" s="14" t="str">
        <f>C9</f>
        <v>CHOCOLATE</v>
      </c>
      <c r="D20" s="14" t="s">
        <v>28</v>
      </c>
      <c r="E20" s="14">
        <v>100</v>
      </c>
      <c r="F20" s="41">
        <f>E20*F11</f>
        <v>100</v>
      </c>
      <c r="G20" s="14">
        <v>257</v>
      </c>
      <c r="H20" s="37">
        <f>F20/5000*G20/F11</f>
        <v>5.14</v>
      </c>
      <c r="I20" s="38">
        <f>H20*F11</f>
        <v>5.14</v>
      </c>
      <c r="J20" s="39">
        <v>0.12</v>
      </c>
      <c r="K20" s="40">
        <f>I20*J20</f>
        <v>0.6167999999999999</v>
      </c>
      <c r="L20" s="41">
        <f>I20+K20</f>
        <v>5.7567999999999993</v>
      </c>
    </row>
    <row r="21" spans="1:14" x14ac:dyDescent="0.3">
      <c r="A21" s="9"/>
      <c r="B21" s="12" t="s">
        <v>30</v>
      </c>
      <c r="C21" s="14" t="str">
        <f>C9</f>
        <v>CHOCOLATE</v>
      </c>
      <c r="D21" s="14" t="s">
        <v>28</v>
      </c>
      <c r="E21" s="14">
        <v>50</v>
      </c>
      <c r="F21" s="41">
        <f>E21*F11</f>
        <v>50</v>
      </c>
      <c r="G21" s="14">
        <v>162</v>
      </c>
      <c r="H21" s="37">
        <f>F21/1000*G21/F11</f>
        <v>8.1</v>
      </c>
      <c r="I21" s="38">
        <f>F21/1000*G21</f>
        <v>8.1</v>
      </c>
      <c r="J21" s="39">
        <v>0.12</v>
      </c>
      <c r="K21" s="40">
        <f>I21*J21</f>
        <v>0.97199999999999998</v>
      </c>
      <c r="L21" s="41">
        <f>I21+K21</f>
        <v>9.0719999999999992</v>
      </c>
    </row>
    <row r="22" spans="1:14" x14ac:dyDescent="0.3">
      <c r="A22" s="9"/>
      <c r="B22" s="12"/>
      <c r="C22" s="14"/>
      <c r="D22" s="14"/>
      <c r="E22" s="14"/>
      <c r="F22" s="41"/>
      <c r="G22" s="14"/>
      <c r="H22" s="37"/>
      <c r="I22" s="38"/>
      <c r="J22" s="39"/>
      <c r="K22" s="40"/>
      <c r="L22" s="41"/>
    </row>
    <row r="23" spans="1:14" x14ac:dyDescent="0.3">
      <c r="A23" s="9" t="s">
        <v>31</v>
      </c>
      <c r="B23" s="12" t="s">
        <v>32</v>
      </c>
      <c r="C23" s="14" t="s">
        <v>33</v>
      </c>
      <c r="D23" s="14" t="s">
        <v>34</v>
      </c>
      <c r="E23" s="14">
        <v>1</v>
      </c>
      <c r="F23" s="41">
        <f>E23*F11</f>
        <v>1</v>
      </c>
      <c r="G23" s="14">
        <v>16</v>
      </c>
      <c r="H23" s="37">
        <f>E23*G23</f>
        <v>16</v>
      </c>
      <c r="I23" s="38">
        <f>F23*G23</f>
        <v>16</v>
      </c>
      <c r="J23" s="39">
        <v>0.18</v>
      </c>
      <c r="K23" s="40">
        <f>I23*J23</f>
        <v>2.88</v>
      </c>
      <c r="L23" s="41">
        <f>I23+K23</f>
        <v>18.88</v>
      </c>
    </row>
    <row r="24" spans="1:14" x14ac:dyDescent="0.3">
      <c r="A24" s="9"/>
      <c r="B24" s="12" t="s">
        <v>35</v>
      </c>
      <c r="C24" s="14" t="s">
        <v>36</v>
      </c>
      <c r="D24" s="14" t="s">
        <v>37</v>
      </c>
      <c r="E24" s="14">
        <v>0.15</v>
      </c>
      <c r="F24" s="41">
        <f>E24*F11</f>
        <v>0.15</v>
      </c>
      <c r="G24" s="14">
        <v>88</v>
      </c>
      <c r="H24" s="37">
        <f>E24*G24</f>
        <v>13.2</v>
      </c>
      <c r="I24" s="38">
        <f>F24*G24</f>
        <v>13.2</v>
      </c>
      <c r="J24" s="39">
        <v>0.18</v>
      </c>
      <c r="K24" s="40">
        <f>I24*J24</f>
        <v>2.3759999999999999</v>
      </c>
      <c r="L24" s="41">
        <f>I24+K24</f>
        <v>15.575999999999999</v>
      </c>
    </row>
    <row r="25" spans="1:14" x14ac:dyDescent="0.3">
      <c r="A25" s="9"/>
      <c r="B25" s="12" t="s">
        <v>38</v>
      </c>
      <c r="C25" s="14" t="s">
        <v>39</v>
      </c>
      <c r="D25" s="14" t="s">
        <v>34</v>
      </c>
      <c r="E25" s="14">
        <v>3.75</v>
      </c>
      <c r="F25" s="41">
        <f>E25*F11</f>
        <v>3.75</v>
      </c>
      <c r="G25" s="14">
        <v>0.6875</v>
      </c>
      <c r="H25" s="37">
        <f>E25*G25</f>
        <v>2.578125</v>
      </c>
      <c r="I25" s="38">
        <f>F25*G25</f>
        <v>2.578125</v>
      </c>
      <c r="J25" s="39">
        <v>0.18</v>
      </c>
      <c r="K25" s="40">
        <f>I25*J25</f>
        <v>0.46406249999999999</v>
      </c>
      <c r="L25" s="41">
        <f>I25+K25</f>
        <v>3.0421874999999998</v>
      </c>
    </row>
    <row r="26" spans="1:14" x14ac:dyDescent="0.3">
      <c r="A26" s="9"/>
      <c r="B26" s="12"/>
      <c r="C26" s="14"/>
      <c r="D26" s="14"/>
      <c r="E26" s="14"/>
      <c r="F26" s="41"/>
      <c r="G26" s="14"/>
      <c r="H26" s="37"/>
      <c r="I26" s="38"/>
      <c r="J26" s="39"/>
      <c r="K26" s="40"/>
      <c r="L26" s="41"/>
    </row>
    <row r="27" spans="1:14" x14ac:dyDescent="0.3">
      <c r="A27" s="9"/>
      <c r="B27" s="12" t="s">
        <v>197</v>
      </c>
      <c r="C27" s="14" t="str">
        <f>C9</f>
        <v>CHOCOLATE</v>
      </c>
      <c r="D27" s="14" t="s">
        <v>43</v>
      </c>
      <c r="E27" s="14">
        <v>1</v>
      </c>
      <c r="F27" s="41">
        <f>E27*F11</f>
        <v>1</v>
      </c>
      <c r="G27" s="14">
        <v>165</v>
      </c>
      <c r="H27" s="37">
        <f t="shared" ref="H27:H32" si="0">E27*G27</f>
        <v>165</v>
      </c>
      <c r="I27" s="38">
        <f t="shared" ref="I27:I32" si="1">F27*G27</f>
        <v>165</v>
      </c>
      <c r="J27" s="39">
        <v>0.18</v>
      </c>
      <c r="K27" s="40">
        <f t="shared" ref="K27:K32" si="2">I27*J27</f>
        <v>29.7</v>
      </c>
      <c r="L27" s="41">
        <f t="shared" ref="L27:L32" si="3">I27+K27</f>
        <v>194.7</v>
      </c>
      <c r="M27">
        <v>1.9</v>
      </c>
      <c r="N27">
        <f>M27*85</f>
        <v>161.5</v>
      </c>
    </row>
    <row r="28" spans="1:14" x14ac:dyDescent="0.3">
      <c r="A28" s="9"/>
      <c r="B28" s="12" t="s">
        <v>173</v>
      </c>
      <c r="C28" s="14" t="str">
        <f>C9</f>
        <v>CHOCOLATE</v>
      </c>
      <c r="D28" s="14" t="s">
        <v>43</v>
      </c>
      <c r="E28" s="14">
        <v>2</v>
      </c>
      <c r="F28" s="41">
        <f>E28*F11</f>
        <v>2</v>
      </c>
      <c r="G28" s="14">
        <v>60</v>
      </c>
      <c r="H28" s="37">
        <f t="shared" si="0"/>
        <v>120</v>
      </c>
      <c r="I28" s="38">
        <f t="shared" si="1"/>
        <v>120</v>
      </c>
      <c r="J28" s="39">
        <v>0.18</v>
      </c>
      <c r="K28" s="40">
        <f t="shared" si="2"/>
        <v>21.599999999999998</v>
      </c>
      <c r="L28" s="41">
        <f t="shared" si="3"/>
        <v>141.6</v>
      </c>
      <c r="M28">
        <v>0.62</v>
      </c>
      <c r="N28">
        <f>M28*85</f>
        <v>52.7</v>
      </c>
    </row>
    <row r="29" spans="1:14" x14ac:dyDescent="0.3">
      <c r="A29" s="9"/>
      <c r="B29" s="12" t="s">
        <v>160</v>
      </c>
      <c r="C29" s="14" t="str">
        <f>C9</f>
        <v>CHOCOLATE</v>
      </c>
      <c r="D29" s="14" t="s">
        <v>43</v>
      </c>
      <c r="E29" s="14">
        <v>1</v>
      </c>
      <c r="F29" s="41">
        <f>E29*F11</f>
        <v>1</v>
      </c>
      <c r="G29" s="14">
        <v>15</v>
      </c>
      <c r="H29" s="37">
        <f t="shared" si="0"/>
        <v>15</v>
      </c>
      <c r="I29" s="38">
        <f t="shared" si="1"/>
        <v>15</v>
      </c>
      <c r="J29" s="39">
        <v>0.18</v>
      </c>
      <c r="K29" s="40">
        <f t="shared" si="2"/>
        <v>2.6999999999999997</v>
      </c>
      <c r="L29" s="41">
        <f t="shared" si="3"/>
        <v>17.7</v>
      </c>
    </row>
    <row r="30" spans="1:14" x14ac:dyDescent="0.3">
      <c r="A30" s="12"/>
      <c r="B30" s="12" t="s">
        <v>161</v>
      </c>
      <c r="C30" s="14" t="s">
        <v>162</v>
      </c>
      <c r="D30" s="14" t="s">
        <v>43</v>
      </c>
      <c r="E30" s="14">
        <v>8</v>
      </c>
      <c r="F30" s="41">
        <f>E30*F11</f>
        <v>8</v>
      </c>
      <c r="G30" s="14">
        <v>0</v>
      </c>
      <c r="H30" s="37">
        <f t="shared" si="0"/>
        <v>0</v>
      </c>
      <c r="I30" s="38">
        <f t="shared" si="1"/>
        <v>0</v>
      </c>
      <c r="J30" s="39">
        <v>0.18</v>
      </c>
      <c r="K30" s="40">
        <f t="shared" si="2"/>
        <v>0</v>
      </c>
      <c r="L30" s="41">
        <f t="shared" si="3"/>
        <v>0</v>
      </c>
    </row>
    <row r="31" spans="1:14" x14ac:dyDescent="0.3">
      <c r="A31" s="12"/>
      <c r="B31" s="12" t="s">
        <v>163</v>
      </c>
      <c r="C31" s="14" t="s">
        <v>164</v>
      </c>
      <c r="D31" s="14" t="s">
        <v>34</v>
      </c>
      <c r="E31" s="14">
        <v>2</v>
      </c>
      <c r="F31" s="41">
        <f>E31*F11</f>
        <v>2</v>
      </c>
      <c r="G31" s="14">
        <v>35</v>
      </c>
      <c r="H31" s="37">
        <f t="shared" si="0"/>
        <v>70</v>
      </c>
      <c r="I31" s="38">
        <f t="shared" si="1"/>
        <v>70</v>
      </c>
      <c r="J31" s="39">
        <v>0.18</v>
      </c>
      <c r="K31" s="40">
        <f t="shared" si="2"/>
        <v>12.6</v>
      </c>
      <c r="L31" s="41">
        <f t="shared" si="3"/>
        <v>82.6</v>
      </c>
    </row>
    <row r="32" spans="1:14" x14ac:dyDescent="0.3">
      <c r="A32" s="12"/>
      <c r="B32" s="12" t="s">
        <v>165</v>
      </c>
      <c r="C32" s="14" t="s">
        <v>164</v>
      </c>
      <c r="D32" s="14" t="s">
        <v>166</v>
      </c>
      <c r="E32" s="14">
        <v>0</v>
      </c>
      <c r="F32" s="41">
        <f>E32*F11</f>
        <v>0</v>
      </c>
      <c r="G32" s="14">
        <v>3</v>
      </c>
      <c r="H32" s="37">
        <f t="shared" si="0"/>
        <v>0</v>
      </c>
      <c r="I32" s="38">
        <f t="shared" si="1"/>
        <v>0</v>
      </c>
      <c r="J32" s="39">
        <v>0.18</v>
      </c>
      <c r="K32" s="40">
        <f t="shared" si="2"/>
        <v>0</v>
      </c>
      <c r="L32" s="41">
        <f t="shared" si="3"/>
        <v>0</v>
      </c>
    </row>
    <row r="33" spans="1:12" x14ac:dyDescent="0.3">
      <c r="A33" s="12"/>
      <c r="B33" s="12"/>
      <c r="C33" s="14"/>
      <c r="D33" s="14"/>
      <c r="E33" s="14"/>
      <c r="F33" s="12"/>
      <c r="G33" s="14"/>
      <c r="H33" s="37"/>
      <c r="I33" s="38"/>
      <c r="J33" s="39"/>
      <c r="K33" s="40"/>
      <c r="L33" s="41"/>
    </row>
    <row r="34" spans="1:12" x14ac:dyDescent="0.3">
      <c r="A34" s="12" t="s">
        <v>47</v>
      </c>
      <c r="B34" s="12" t="s">
        <v>167</v>
      </c>
      <c r="C34" s="14" t="s">
        <v>36</v>
      </c>
      <c r="D34" s="14" t="s">
        <v>43</v>
      </c>
      <c r="E34" s="14">
        <v>1</v>
      </c>
      <c r="F34" s="41">
        <f>E34*F11</f>
        <v>1</v>
      </c>
      <c r="G34" s="14">
        <v>12</v>
      </c>
      <c r="H34" s="37">
        <f>E34*G34</f>
        <v>12</v>
      </c>
      <c r="I34" s="38">
        <f>F34*G34</f>
        <v>12</v>
      </c>
      <c r="J34" s="39">
        <v>0.12</v>
      </c>
      <c r="K34" s="40">
        <f>I34*J34</f>
        <v>1.44</v>
      </c>
      <c r="L34" s="41">
        <f>I34+K34</f>
        <v>13.44</v>
      </c>
    </row>
    <row r="35" spans="1:12" x14ac:dyDescent="0.3">
      <c r="A35" s="12"/>
      <c r="B35" s="12" t="s">
        <v>168</v>
      </c>
      <c r="C35" s="14" t="s">
        <v>36</v>
      </c>
      <c r="D35" s="14" t="s">
        <v>43</v>
      </c>
      <c r="E35" s="14">
        <v>1</v>
      </c>
      <c r="F35" s="41">
        <f>E35*F11</f>
        <v>1</v>
      </c>
      <c r="G35" s="14">
        <v>7</v>
      </c>
      <c r="H35" s="37">
        <f>E35*G35</f>
        <v>7</v>
      </c>
      <c r="I35" s="38">
        <f>F35*G35</f>
        <v>7</v>
      </c>
      <c r="J35" s="39">
        <v>0.12</v>
      </c>
      <c r="K35" s="40">
        <f>I35*J35</f>
        <v>0.84</v>
      </c>
      <c r="L35" s="41">
        <f>I35+K35</f>
        <v>7.84</v>
      </c>
    </row>
    <row r="36" spans="1:12" x14ac:dyDescent="0.3">
      <c r="A36" s="12"/>
      <c r="B36" s="12" t="s">
        <v>169</v>
      </c>
      <c r="C36" s="14" t="s">
        <v>36</v>
      </c>
      <c r="D36" s="14" t="s">
        <v>43</v>
      </c>
      <c r="E36" s="14">
        <v>1</v>
      </c>
      <c r="F36" s="41">
        <f>E36*F11</f>
        <v>1</v>
      </c>
      <c r="G36" s="14">
        <v>4</v>
      </c>
      <c r="H36" s="37">
        <f>E36*G36</f>
        <v>4</v>
      </c>
      <c r="I36" s="38">
        <f>F36*G36</f>
        <v>4</v>
      </c>
      <c r="J36" s="39">
        <v>0.12</v>
      </c>
      <c r="K36" s="40">
        <f>I36*J36</f>
        <v>0.48</v>
      </c>
      <c r="L36" s="41">
        <f>I36+K36</f>
        <v>4.4800000000000004</v>
      </c>
    </row>
    <row r="37" spans="1:12" x14ac:dyDescent="0.3">
      <c r="A37" s="12"/>
      <c r="B37" s="12" t="s">
        <v>49</v>
      </c>
      <c r="C37" s="14" t="s">
        <v>36</v>
      </c>
      <c r="D37" s="14" t="s">
        <v>43</v>
      </c>
      <c r="E37" s="14">
        <v>1</v>
      </c>
      <c r="F37" s="41">
        <f>E37*F11</f>
        <v>1</v>
      </c>
      <c r="G37" s="14">
        <v>3.5</v>
      </c>
      <c r="H37" s="37">
        <f>E37*G37</f>
        <v>3.5</v>
      </c>
      <c r="I37" s="38">
        <f>F37*G37</f>
        <v>3.5</v>
      </c>
      <c r="J37" s="39">
        <v>0.12</v>
      </c>
      <c r="K37" s="40">
        <f>I37*J37</f>
        <v>0.42</v>
      </c>
      <c r="L37" s="41">
        <f>I37+K37</f>
        <v>3.92</v>
      </c>
    </row>
    <row r="38" spans="1:12" x14ac:dyDescent="0.3">
      <c r="A38" s="9"/>
      <c r="B38" s="12" t="s">
        <v>50</v>
      </c>
      <c r="C38" s="14" t="s">
        <v>36</v>
      </c>
      <c r="D38" s="14" t="s">
        <v>43</v>
      </c>
      <c r="E38" s="14">
        <v>1</v>
      </c>
      <c r="F38" s="41">
        <f>E38*F11</f>
        <v>1</v>
      </c>
      <c r="G38" s="14">
        <v>4</v>
      </c>
      <c r="H38" s="37">
        <v>4</v>
      </c>
      <c r="I38" s="38">
        <f>F38*G38</f>
        <v>4</v>
      </c>
      <c r="J38" s="39">
        <v>0.12</v>
      </c>
      <c r="K38" s="40">
        <f>I38*J38</f>
        <v>0.48</v>
      </c>
      <c r="L38" s="41">
        <f>I38+K38</f>
        <v>4.4800000000000004</v>
      </c>
    </row>
    <row r="39" spans="1:12" x14ac:dyDescent="0.3">
      <c r="A39" s="9"/>
      <c r="B39" s="12"/>
      <c r="C39" s="14"/>
      <c r="D39" s="14"/>
      <c r="E39" s="14"/>
      <c r="F39" s="41"/>
      <c r="G39" s="14"/>
      <c r="H39" s="12"/>
      <c r="I39" s="41"/>
      <c r="J39" s="39"/>
      <c r="K39" s="41"/>
      <c r="L39" s="41"/>
    </row>
    <row r="40" spans="1:12" ht="21.6" x14ac:dyDescent="0.3">
      <c r="A40" s="100" t="s">
        <v>51</v>
      </c>
      <c r="B40" s="21" t="s">
        <v>52</v>
      </c>
      <c r="C40" s="23" t="s">
        <v>36</v>
      </c>
      <c r="D40" s="23" t="s">
        <v>43</v>
      </c>
      <c r="E40" s="23">
        <v>1</v>
      </c>
      <c r="F40" s="45">
        <f>F11*E40</f>
        <v>1</v>
      </c>
      <c r="G40" s="23">
        <v>12</v>
      </c>
      <c r="H40" s="46">
        <f t="shared" ref="H40:H45" si="4">E40*G40</f>
        <v>12</v>
      </c>
      <c r="I40" s="47">
        <f t="shared" ref="I40:I44" si="5">F40*G40</f>
        <v>12</v>
      </c>
      <c r="J40" s="48">
        <v>0.18</v>
      </c>
      <c r="K40" s="49">
        <f t="shared" ref="K40:K45" si="6">I40*J40</f>
        <v>2.16</v>
      </c>
      <c r="L40" s="45">
        <f t="shared" ref="L40:L46" si="7">I40+K40</f>
        <v>14.16</v>
      </c>
    </row>
    <row r="41" spans="1:12" x14ac:dyDescent="0.3">
      <c r="A41" s="12"/>
      <c r="B41" s="12" t="s">
        <v>53</v>
      </c>
      <c r="C41" s="14" t="s">
        <v>36</v>
      </c>
      <c r="D41" s="14" t="s">
        <v>43</v>
      </c>
      <c r="E41" s="14">
        <v>1</v>
      </c>
      <c r="F41" s="41">
        <f>E41*F11</f>
        <v>1</v>
      </c>
      <c r="G41" s="14">
        <v>5</v>
      </c>
      <c r="H41" s="37">
        <f t="shared" si="4"/>
        <v>5</v>
      </c>
      <c r="I41" s="38">
        <f t="shared" si="5"/>
        <v>5</v>
      </c>
      <c r="J41" s="39">
        <v>0.18</v>
      </c>
      <c r="K41" s="40">
        <f t="shared" si="6"/>
        <v>0.89999999999999991</v>
      </c>
      <c r="L41" s="41">
        <f t="shared" si="7"/>
        <v>5.9</v>
      </c>
    </row>
    <row r="42" spans="1:12" x14ac:dyDescent="0.3">
      <c r="A42" s="12"/>
      <c r="B42" s="12" t="s">
        <v>54</v>
      </c>
      <c r="C42" s="14" t="s">
        <v>36</v>
      </c>
      <c r="D42" s="14" t="s">
        <v>55</v>
      </c>
      <c r="E42" s="14">
        <v>1</v>
      </c>
      <c r="F42" s="41">
        <f>E42*F11</f>
        <v>1</v>
      </c>
      <c r="G42" s="14">
        <v>12</v>
      </c>
      <c r="H42" s="37">
        <f t="shared" si="4"/>
        <v>12</v>
      </c>
      <c r="I42" s="38">
        <f t="shared" si="5"/>
        <v>12</v>
      </c>
      <c r="J42" s="39">
        <v>0.18</v>
      </c>
      <c r="K42" s="40">
        <f t="shared" si="6"/>
        <v>2.16</v>
      </c>
      <c r="L42" s="41">
        <f t="shared" si="7"/>
        <v>14.16</v>
      </c>
    </row>
    <row r="43" spans="1:12" x14ac:dyDescent="0.3">
      <c r="A43" s="12"/>
      <c r="B43" s="12" t="s">
        <v>56</v>
      </c>
      <c r="C43" s="14" t="s">
        <v>36</v>
      </c>
      <c r="D43" s="14" t="s">
        <v>55</v>
      </c>
      <c r="E43" s="14">
        <v>0.2</v>
      </c>
      <c r="F43" s="41">
        <f>E43*F11</f>
        <v>0.2</v>
      </c>
      <c r="G43" s="14">
        <v>115</v>
      </c>
      <c r="H43" s="37">
        <v>15</v>
      </c>
      <c r="I43" s="38">
        <f>H43*F11</f>
        <v>15</v>
      </c>
      <c r="J43" s="39">
        <v>0.18</v>
      </c>
      <c r="K43" s="40">
        <f t="shared" si="6"/>
        <v>2.6999999999999997</v>
      </c>
      <c r="L43" s="41">
        <f t="shared" si="7"/>
        <v>17.7</v>
      </c>
    </row>
    <row r="44" spans="1:12" x14ac:dyDescent="0.3">
      <c r="A44" s="12"/>
      <c r="B44" s="12" t="s">
        <v>57</v>
      </c>
      <c r="C44" s="14" t="s">
        <v>36</v>
      </c>
      <c r="D44" s="14" t="s">
        <v>58</v>
      </c>
      <c r="E44" s="14">
        <v>2</v>
      </c>
      <c r="F44" s="41">
        <f>E44*F11</f>
        <v>2</v>
      </c>
      <c r="G44" s="14">
        <v>1.35</v>
      </c>
      <c r="H44" s="37">
        <f t="shared" si="4"/>
        <v>2.7</v>
      </c>
      <c r="I44" s="38">
        <f t="shared" si="5"/>
        <v>2.7</v>
      </c>
      <c r="J44" s="39">
        <v>0.18</v>
      </c>
      <c r="K44" s="40">
        <f t="shared" si="6"/>
        <v>0.48599999999999999</v>
      </c>
      <c r="L44" s="41">
        <f t="shared" si="7"/>
        <v>3.1859999999999999</v>
      </c>
    </row>
    <row r="45" spans="1:12" x14ac:dyDescent="0.3">
      <c r="A45" s="12"/>
      <c r="B45" s="12" t="s">
        <v>59</v>
      </c>
      <c r="C45" s="14" t="s">
        <v>36</v>
      </c>
      <c r="D45" s="14" t="s">
        <v>43</v>
      </c>
      <c r="E45" s="14">
        <v>7.0000000000000007E-2</v>
      </c>
      <c r="F45" s="41">
        <f>E45*F11</f>
        <v>7.0000000000000007E-2</v>
      </c>
      <c r="G45" s="14">
        <v>168</v>
      </c>
      <c r="H45" s="37">
        <f t="shared" si="4"/>
        <v>11.760000000000002</v>
      </c>
      <c r="I45" s="38">
        <f>F45*G45</f>
        <v>11.760000000000002</v>
      </c>
      <c r="J45" s="39">
        <v>0.18</v>
      </c>
      <c r="K45" s="40">
        <f t="shared" si="6"/>
        <v>2.1168</v>
      </c>
      <c r="L45" s="41">
        <f t="shared" si="7"/>
        <v>13.876800000000001</v>
      </c>
    </row>
    <row r="46" spans="1:12" x14ac:dyDescent="0.3">
      <c r="A46" s="12"/>
      <c r="B46" s="12" t="s">
        <v>60</v>
      </c>
      <c r="C46" s="14" t="s">
        <v>61</v>
      </c>
      <c r="D46" s="14" t="s">
        <v>62</v>
      </c>
      <c r="E46" s="14">
        <f>0.1</f>
        <v>0.1</v>
      </c>
      <c r="F46" s="41">
        <f>E46*F11</f>
        <v>0.1</v>
      </c>
      <c r="G46" s="14">
        <v>54</v>
      </c>
      <c r="H46" s="37">
        <f>E46*G46</f>
        <v>5.4</v>
      </c>
      <c r="I46" s="38">
        <f>F46*G46</f>
        <v>5.4</v>
      </c>
      <c r="J46" s="39">
        <v>0.18</v>
      </c>
      <c r="K46" s="40">
        <f>I46*J46</f>
        <v>0.97199999999999998</v>
      </c>
      <c r="L46" s="41">
        <f t="shared" si="7"/>
        <v>6.3719999999999999</v>
      </c>
    </row>
    <row r="47" spans="1:12" x14ac:dyDescent="0.3">
      <c r="A47" s="12"/>
      <c r="B47" s="12"/>
      <c r="C47" s="14"/>
      <c r="D47" s="14"/>
      <c r="E47" s="14"/>
      <c r="F47" s="41"/>
      <c r="G47" s="14"/>
      <c r="H47" s="50">
        <f>SUM(H14:H46)</f>
        <v>1571.8781250000002</v>
      </c>
      <c r="I47" s="50">
        <f>SUM(I14:I46)</f>
        <v>1571.8781250000002</v>
      </c>
      <c r="J47" s="51"/>
      <c r="K47" s="52">
        <f>SUM(K14:K46)</f>
        <v>216.56366249999996</v>
      </c>
      <c r="L47" s="53">
        <f>SUM(L14:L46)</f>
        <v>1788.4417875000004</v>
      </c>
    </row>
    <row r="48" spans="1:12" x14ac:dyDescent="0.3">
      <c r="A48" s="12" t="s">
        <v>63</v>
      </c>
      <c r="B48" s="12" t="s">
        <v>64</v>
      </c>
      <c r="C48" s="15"/>
      <c r="D48" s="14" t="s">
        <v>43</v>
      </c>
      <c r="E48" s="14">
        <f>C48*1%</f>
        <v>0</v>
      </c>
      <c r="F48" s="41">
        <f>F11</f>
        <v>1</v>
      </c>
      <c r="G48" s="14">
        <f>E48</f>
        <v>0</v>
      </c>
      <c r="H48" s="38">
        <f>G48</f>
        <v>0</v>
      </c>
      <c r="I48" s="38">
        <f>H48*F48</f>
        <v>0</v>
      </c>
      <c r="J48" s="39">
        <v>0.18</v>
      </c>
      <c r="K48" s="40">
        <f t="shared" ref="K48:K56" si="8">I48*J48</f>
        <v>0</v>
      </c>
      <c r="L48" s="41">
        <f t="shared" ref="L48:L56" si="9">I48+K48</f>
        <v>0</v>
      </c>
    </row>
    <row r="49" spans="1:12" x14ac:dyDescent="0.3">
      <c r="A49" s="12"/>
      <c r="B49" s="12" t="s">
        <v>65</v>
      </c>
      <c r="C49" s="15"/>
      <c r="D49" s="14" t="s">
        <v>43</v>
      </c>
      <c r="E49" s="14">
        <f>C49*1%</f>
        <v>0</v>
      </c>
      <c r="F49" s="41">
        <f>F11</f>
        <v>1</v>
      </c>
      <c r="G49" s="14">
        <f>E49</f>
        <v>0</v>
      </c>
      <c r="H49" s="38">
        <f>G49</f>
        <v>0</v>
      </c>
      <c r="I49" s="38">
        <f>H49*F49</f>
        <v>0</v>
      </c>
      <c r="J49" s="39">
        <v>0.18</v>
      </c>
      <c r="K49" s="40">
        <f t="shared" si="8"/>
        <v>0</v>
      </c>
      <c r="L49" s="41">
        <f t="shared" si="9"/>
        <v>0</v>
      </c>
    </row>
    <row r="50" spans="1:12" x14ac:dyDescent="0.3">
      <c r="A50" s="12"/>
      <c r="B50" s="12" t="s">
        <v>66</v>
      </c>
      <c r="C50" s="15"/>
      <c r="D50" s="14" t="s">
        <v>43</v>
      </c>
      <c r="E50" s="14">
        <f>C50*5%</f>
        <v>0</v>
      </c>
      <c r="F50" s="41">
        <f>F11</f>
        <v>1</v>
      </c>
      <c r="G50" s="14">
        <f t="shared" ref="G50:G55" si="10">E50</f>
        <v>0</v>
      </c>
      <c r="H50" s="38">
        <f t="shared" ref="H50:H55" si="11">G50</f>
        <v>0</v>
      </c>
      <c r="I50" s="38">
        <f>H50*F50</f>
        <v>0</v>
      </c>
      <c r="J50" s="39"/>
      <c r="K50" s="40">
        <f t="shared" si="8"/>
        <v>0</v>
      </c>
      <c r="L50" s="41">
        <f t="shared" si="9"/>
        <v>0</v>
      </c>
    </row>
    <row r="51" spans="1:12" x14ac:dyDescent="0.3">
      <c r="A51" s="12"/>
      <c r="B51" s="12" t="s">
        <v>67</v>
      </c>
      <c r="C51" s="15"/>
      <c r="D51" s="14" t="s">
        <v>43</v>
      </c>
      <c r="E51" s="14">
        <f>C51*7%</f>
        <v>0</v>
      </c>
      <c r="F51" s="41">
        <f>F11</f>
        <v>1</v>
      </c>
      <c r="G51" s="14">
        <f t="shared" si="10"/>
        <v>0</v>
      </c>
      <c r="H51" s="38">
        <f t="shared" si="11"/>
        <v>0</v>
      </c>
      <c r="I51" s="38">
        <f>H51*F51</f>
        <v>0</v>
      </c>
      <c r="J51" s="12"/>
      <c r="K51" s="40">
        <f t="shared" si="8"/>
        <v>0</v>
      </c>
      <c r="L51" s="41">
        <f t="shared" si="9"/>
        <v>0</v>
      </c>
    </row>
    <row r="52" spans="1:12" x14ac:dyDescent="0.3">
      <c r="A52" s="9" t="s">
        <v>68</v>
      </c>
      <c r="B52" s="12" t="s">
        <v>69</v>
      </c>
      <c r="C52" s="15"/>
      <c r="D52" s="14" t="s">
        <v>43</v>
      </c>
      <c r="E52" s="14">
        <f>C52*2.5%</f>
        <v>0</v>
      </c>
      <c r="F52" s="41">
        <f>F11</f>
        <v>1</v>
      </c>
      <c r="G52" s="14">
        <f t="shared" si="10"/>
        <v>0</v>
      </c>
      <c r="H52" s="38">
        <f t="shared" si="11"/>
        <v>0</v>
      </c>
      <c r="I52" s="38">
        <f t="shared" ref="I52:I56" si="12">H52*F52</f>
        <v>0</v>
      </c>
      <c r="J52" s="12"/>
      <c r="K52" s="40">
        <f t="shared" si="8"/>
        <v>0</v>
      </c>
      <c r="L52" s="41">
        <f t="shared" si="9"/>
        <v>0</v>
      </c>
    </row>
    <row r="53" spans="1:12" x14ac:dyDescent="0.3">
      <c r="A53" s="12"/>
      <c r="B53" s="12" t="s">
        <v>70</v>
      </c>
      <c r="C53" s="15"/>
      <c r="D53" s="14" t="s">
        <v>43</v>
      </c>
      <c r="E53" s="14">
        <f>C53*2%</f>
        <v>0</v>
      </c>
      <c r="F53" s="41">
        <f>F11</f>
        <v>1</v>
      </c>
      <c r="G53" s="14">
        <f t="shared" si="10"/>
        <v>0</v>
      </c>
      <c r="H53" s="38">
        <f t="shared" si="11"/>
        <v>0</v>
      </c>
      <c r="I53" s="38">
        <f t="shared" si="12"/>
        <v>0</v>
      </c>
      <c r="J53" s="12"/>
      <c r="K53" s="40">
        <f t="shared" si="8"/>
        <v>0</v>
      </c>
      <c r="L53" s="41">
        <f t="shared" si="9"/>
        <v>0</v>
      </c>
    </row>
    <row r="54" spans="1:12" x14ac:dyDescent="0.3">
      <c r="A54" s="12"/>
      <c r="B54" s="12" t="s">
        <v>71</v>
      </c>
      <c r="C54" s="15"/>
      <c r="D54" s="14" t="s">
        <v>43</v>
      </c>
      <c r="E54" s="14">
        <v>1200</v>
      </c>
      <c r="F54" s="41">
        <f>F11</f>
        <v>1</v>
      </c>
      <c r="G54" s="14">
        <f t="shared" si="10"/>
        <v>1200</v>
      </c>
      <c r="H54" s="38">
        <f t="shared" si="11"/>
        <v>1200</v>
      </c>
      <c r="I54" s="38">
        <f t="shared" si="12"/>
        <v>1200</v>
      </c>
      <c r="J54" s="12"/>
      <c r="K54" s="40">
        <f t="shared" si="8"/>
        <v>0</v>
      </c>
      <c r="L54" s="41">
        <f t="shared" si="9"/>
        <v>1200</v>
      </c>
    </row>
    <row r="55" spans="1:12" x14ac:dyDescent="0.3">
      <c r="A55" s="12"/>
      <c r="B55" s="12" t="s">
        <v>240</v>
      </c>
      <c r="C55" s="15">
        <f>B61</f>
        <v>4590</v>
      </c>
      <c r="D55" s="14" t="s">
        <v>43</v>
      </c>
      <c r="E55" s="14">
        <f>C55*3%</f>
        <v>137.69999999999999</v>
      </c>
      <c r="F55" s="41">
        <f>F11</f>
        <v>1</v>
      </c>
      <c r="G55" s="14">
        <f t="shared" si="10"/>
        <v>137.69999999999999</v>
      </c>
      <c r="H55" s="38">
        <f t="shared" si="11"/>
        <v>137.69999999999999</v>
      </c>
      <c r="I55" s="38">
        <f t="shared" si="12"/>
        <v>137.69999999999999</v>
      </c>
      <c r="J55" s="12"/>
      <c r="K55" s="40">
        <f t="shared" si="8"/>
        <v>0</v>
      </c>
      <c r="L55" s="41">
        <f t="shared" si="9"/>
        <v>137.69999999999999</v>
      </c>
    </row>
    <row r="56" spans="1:12" x14ac:dyDescent="0.3">
      <c r="A56" s="12" t="s">
        <v>73</v>
      </c>
      <c r="B56" s="54" t="s">
        <v>74</v>
      </c>
      <c r="C56" s="55"/>
      <c r="D56" s="55" t="s">
        <v>43</v>
      </c>
      <c r="E56" s="55">
        <v>420</v>
      </c>
      <c r="F56" s="41">
        <f>F11</f>
        <v>1</v>
      </c>
      <c r="G56" s="55">
        <v>420</v>
      </c>
      <c r="H56" s="56">
        <v>420</v>
      </c>
      <c r="I56" s="38">
        <f t="shared" si="12"/>
        <v>420</v>
      </c>
      <c r="J56" s="54"/>
      <c r="K56" s="57">
        <f t="shared" si="8"/>
        <v>0</v>
      </c>
      <c r="L56" s="58">
        <f t="shared" si="9"/>
        <v>420</v>
      </c>
    </row>
    <row r="57" spans="1:12" x14ac:dyDescent="0.3">
      <c r="A57" s="2"/>
      <c r="B57" s="2"/>
      <c r="C57" s="1"/>
      <c r="D57" s="1"/>
      <c r="E57" s="1"/>
      <c r="F57" s="59">
        <f>F11</f>
        <v>1</v>
      </c>
      <c r="G57" s="1"/>
      <c r="H57" s="59">
        <f>SUM(H47:H56)</f>
        <v>3329.578125</v>
      </c>
      <c r="I57" s="59">
        <f>SUM(I47:I56)</f>
        <v>3329.578125</v>
      </c>
      <c r="J57" s="60"/>
      <c r="K57" s="59">
        <f>SUM(K47:K56)</f>
        <v>216.56366249999996</v>
      </c>
      <c r="L57" s="59">
        <f>SUM(L47:L56)</f>
        <v>3546.1417875000002</v>
      </c>
    </row>
    <row r="58" spans="1:12" x14ac:dyDescent="0.3">
      <c r="A58" s="2"/>
      <c r="B58" s="2"/>
      <c r="C58" s="1"/>
      <c r="D58" s="1"/>
      <c r="E58" s="1"/>
      <c r="F58" s="2"/>
      <c r="G58" s="1"/>
      <c r="H58" s="61"/>
      <c r="I58" s="61"/>
    </row>
    <row r="59" spans="1:12" ht="46.2" customHeight="1" x14ac:dyDescent="0.3">
      <c r="A59" s="2"/>
      <c r="B59" s="2"/>
      <c r="C59" s="1"/>
      <c r="D59" s="1"/>
      <c r="E59" s="1"/>
      <c r="F59" s="2"/>
      <c r="G59" s="62" t="s">
        <v>75</v>
      </c>
      <c r="H59" s="2"/>
      <c r="I59" s="2"/>
      <c r="J59" s="2"/>
      <c r="K59" s="61"/>
      <c r="L59" s="2"/>
    </row>
    <row r="60" spans="1:12" ht="18" x14ac:dyDescent="0.35">
      <c r="A60" s="63" t="s">
        <v>76</v>
      </c>
      <c r="B60" s="64">
        <v>54</v>
      </c>
      <c r="C60" s="122" t="s">
        <v>77</v>
      </c>
      <c r="D60" s="122"/>
      <c r="E60" s="122"/>
      <c r="F60" s="122"/>
      <c r="G60" s="65">
        <f>G12</f>
        <v>1282.5</v>
      </c>
      <c r="H60" s="1"/>
      <c r="I60" s="1"/>
      <c r="J60" s="2"/>
      <c r="K60" s="2"/>
      <c r="L60" s="2"/>
    </row>
    <row r="61" spans="1:12" ht="18" x14ac:dyDescent="0.35">
      <c r="A61" s="63">
        <v>85</v>
      </c>
      <c r="B61" s="63">
        <f>B60*A61</f>
        <v>4590</v>
      </c>
      <c r="C61" s="122" t="s">
        <v>78</v>
      </c>
      <c r="D61" s="122"/>
      <c r="E61" s="122"/>
      <c r="F61" s="122"/>
      <c r="G61" s="65">
        <f>I57/F11</f>
        <v>3329.578125</v>
      </c>
      <c r="H61" s="1"/>
      <c r="I61" s="1"/>
      <c r="J61" s="2"/>
      <c r="K61" s="2"/>
      <c r="L61" s="2"/>
    </row>
    <row r="62" spans="1:12" x14ac:dyDescent="0.3">
      <c r="A62" s="2"/>
      <c r="B62" s="2"/>
      <c r="C62" s="130" t="s">
        <v>79</v>
      </c>
      <c r="D62" s="130"/>
      <c r="E62" s="130"/>
      <c r="F62" s="130"/>
      <c r="G62" s="67">
        <f>SUM(G60:G61)</f>
        <v>4612.078125</v>
      </c>
      <c r="H62" s="1"/>
      <c r="I62" s="1"/>
      <c r="J62" s="2"/>
      <c r="K62" s="2"/>
      <c r="L62" s="2"/>
    </row>
    <row r="63" spans="1:12" ht="18" x14ac:dyDescent="0.35">
      <c r="A63" s="63" t="s">
        <v>76</v>
      </c>
      <c r="B63" s="64">
        <f>H64</f>
        <v>48.548190789473686</v>
      </c>
      <c r="C63" s="2"/>
      <c r="G63" s="1"/>
      <c r="H63" s="1"/>
      <c r="I63" s="1"/>
      <c r="J63" s="2"/>
      <c r="K63" s="2"/>
      <c r="L63" s="2"/>
    </row>
    <row r="64" spans="1:12" ht="18" x14ac:dyDescent="0.35">
      <c r="A64" s="63">
        <v>95</v>
      </c>
      <c r="B64" s="64">
        <f>B63*A64</f>
        <v>4612.078125</v>
      </c>
      <c r="C64" s="2"/>
      <c r="G64" s="68">
        <f>G62/A61</f>
        <v>54.259742647058822</v>
      </c>
      <c r="H64" s="69">
        <f>G62/A64</f>
        <v>48.548190789473686</v>
      </c>
      <c r="I64" s="1"/>
      <c r="J64" s="2"/>
      <c r="K64" s="2"/>
      <c r="L64" s="2"/>
    </row>
    <row r="65" spans="1:12" x14ac:dyDescent="0.3">
      <c r="A65" s="2"/>
      <c r="D65" s="70" t="s">
        <v>80</v>
      </c>
      <c r="E65" s="1"/>
      <c r="F65" s="71"/>
      <c r="G65" s="71"/>
      <c r="H65" s="1"/>
      <c r="I65" s="1"/>
      <c r="J65" s="2"/>
      <c r="K65" s="2"/>
      <c r="L65" s="2"/>
    </row>
    <row r="66" spans="1:12" x14ac:dyDescent="0.3">
      <c r="A66" s="2"/>
      <c r="B66" s="123" t="s">
        <v>248</v>
      </c>
      <c r="D66" s="72" t="s">
        <v>81</v>
      </c>
      <c r="E66" s="73">
        <f>I57/F57</f>
        <v>3329.578125</v>
      </c>
      <c r="F66" s="74" t="s">
        <v>20</v>
      </c>
      <c r="G66" s="71"/>
      <c r="H66" s="1"/>
      <c r="I66" s="1"/>
      <c r="J66" s="2"/>
      <c r="K66" s="2"/>
      <c r="L66" s="2"/>
    </row>
    <row r="67" spans="1:12" x14ac:dyDescent="0.3">
      <c r="A67" s="2"/>
      <c r="B67" s="123"/>
      <c r="C67" s="2"/>
      <c r="D67" s="72" t="s">
        <v>21</v>
      </c>
      <c r="E67" s="73">
        <f>L57/F57</f>
        <v>3546.1417875000002</v>
      </c>
      <c r="F67" s="74" t="s">
        <v>20</v>
      </c>
      <c r="G67" s="71"/>
      <c r="H67" s="1"/>
      <c r="I67" s="1"/>
      <c r="J67" s="2"/>
      <c r="K67" s="2"/>
      <c r="L67" s="2"/>
    </row>
    <row r="68" spans="1:12" x14ac:dyDescent="0.3">
      <c r="A68" s="2"/>
      <c r="B68" s="123"/>
      <c r="C68" s="1"/>
      <c r="D68" s="76"/>
      <c r="E68" s="71"/>
      <c r="F68" s="71"/>
      <c r="G68" s="1"/>
      <c r="H68" s="2"/>
      <c r="I68" s="2"/>
      <c r="J68" s="2"/>
      <c r="K68" s="2"/>
      <c r="L68" s="2"/>
    </row>
    <row r="69" spans="1:12" x14ac:dyDescent="0.3">
      <c r="D69" s="77" t="s">
        <v>21</v>
      </c>
      <c r="E69" s="78"/>
      <c r="F69" s="79" t="s">
        <v>19</v>
      </c>
    </row>
    <row r="70" spans="1:12" x14ac:dyDescent="0.3">
      <c r="B70" s="122" t="s">
        <v>82</v>
      </c>
      <c r="C70" s="122"/>
      <c r="D70" s="65">
        <f>G13</f>
        <v>1436.4</v>
      </c>
      <c r="E70" s="75"/>
      <c r="F70" s="80">
        <f>G12</f>
        <v>1282.5</v>
      </c>
    </row>
    <row r="71" spans="1:12" x14ac:dyDescent="0.3">
      <c r="B71" s="124" t="s">
        <v>83</v>
      </c>
      <c r="C71" s="125"/>
      <c r="D71" s="65">
        <f>E67</f>
        <v>3546.1417875000002</v>
      </c>
      <c r="E71" s="75"/>
      <c r="F71" s="80">
        <f>E66</f>
        <v>3329.578125</v>
      </c>
    </row>
    <row r="72" spans="1:12" x14ac:dyDescent="0.3">
      <c r="B72" s="126" t="s">
        <v>79</v>
      </c>
      <c r="C72" s="127"/>
      <c r="D72" s="67">
        <f>SUM(D70:D71)</f>
        <v>4982.5417875000003</v>
      </c>
      <c r="E72" s="78"/>
      <c r="F72" s="81">
        <f>SUM(F70:F71)</f>
        <v>4612.078125</v>
      </c>
    </row>
    <row r="73" spans="1:12" x14ac:dyDescent="0.3">
      <c r="D73" s="82"/>
      <c r="E73" s="1"/>
      <c r="F73" s="71"/>
    </row>
    <row r="74" spans="1:12" x14ac:dyDescent="0.3">
      <c r="D74" s="68">
        <f>D72/A61</f>
        <v>58.618138676470593</v>
      </c>
      <c r="E74" s="1"/>
      <c r="F74" s="68">
        <f>F72/A61</f>
        <v>54.259742647058822</v>
      </c>
    </row>
    <row r="81" spans="4:4" x14ac:dyDescent="0.3">
      <c r="D81" s="43"/>
    </row>
    <row r="82" spans="4:4" x14ac:dyDescent="0.3">
      <c r="D82" s="43"/>
    </row>
    <row r="83" spans="4:4" x14ac:dyDescent="0.3">
      <c r="D83" s="43"/>
    </row>
    <row r="84" spans="4:4" x14ac:dyDescent="0.3">
      <c r="D84" s="43"/>
    </row>
    <row r="85" spans="4:4" x14ac:dyDescent="0.3">
      <c r="D85" s="43"/>
    </row>
  </sheetData>
  <mergeCells count="15">
    <mergeCell ref="B70:C70"/>
    <mergeCell ref="B71:C71"/>
    <mergeCell ref="B72:C72"/>
    <mergeCell ref="A5:F5"/>
    <mergeCell ref="C62:F62"/>
    <mergeCell ref="D13:E13"/>
    <mergeCell ref="C60:F60"/>
    <mergeCell ref="C61:F61"/>
    <mergeCell ref="D12:E12"/>
    <mergeCell ref="B66:B68"/>
    <mergeCell ref="A1:F1"/>
    <mergeCell ref="A2:F2"/>
    <mergeCell ref="A3:F3"/>
    <mergeCell ref="J7:K7"/>
    <mergeCell ref="L7:L8"/>
  </mergeCells>
  <pageMargins left="0.11811023622047245" right="0.11811023622047245" top="0.15748031496062992" bottom="0.15748031496062992" header="0.31496062992125984" footer="0.31496062992125984"/>
  <pageSetup paperSize="9" scale="9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12</vt:i4>
      </vt:variant>
    </vt:vector>
  </HeadingPairs>
  <TitlesOfParts>
    <vt:vector size="32" baseType="lpstr">
      <vt:lpstr>Sheet1</vt:lpstr>
      <vt:lpstr>Sheet2</vt:lpstr>
      <vt:lpstr>REESE MIX </vt:lpstr>
      <vt:lpstr>ROBERT </vt:lpstr>
      <vt:lpstr>TOWER</vt:lpstr>
      <vt:lpstr> ISLAY</vt:lpstr>
      <vt:lpstr>SHINOBI KNIT</vt:lpstr>
      <vt:lpstr> SHINOBI KNIT + DETACHABEL </vt:lpstr>
      <vt:lpstr> FRANCIS KNIT WITH DETACHABLE P</vt:lpstr>
      <vt:lpstr> FRANCIS KNIT  +DETACHABLE</vt:lpstr>
      <vt:lpstr>FRANCIS KNIT DETACHABLE FUR </vt:lpstr>
      <vt:lpstr>FRANCIS KNIT  +DETACHABLE FUR </vt:lpstr>
      <vt:lpstr> CLEREMONT </vt:lpstr>
      <vt:lpstr> VEST -1</vt:lpstr>
      <vt:lpstr> VEST -2</vt:lpstr>
      <vt:lpstr>SANDY </vt:lpstr>
      <vt:lpstr> ALMA + KNITS</vt:lpstr>
      <vt:lpstr> DANTA WINTER MIX </vt:lpstr>
      <vt:lpstr>CARNABY </vt:lpstr>
      <vt:lpstr>FRASCAP KNIT </vt:lpstr>
      <vt:lpstr>' ALMA + KNITS'!Print_Area</vt:lpstr>
      <vt:lpstr>' CLEREMONT '!Print_Area</vt:lpstr>
      <vt:lpstr>' DANTA WINTER MIX '!Print_Area</vt:lpstr>
      <vt:lpstr>' FRANCIS KNIT WITH DETACHABLE P'!Print_Area</vt:lpstr>
      <vt:lpstr>' ISLAY'!Print_Area</vt:lpstr>
      <vt:lpstr>' SHINOBI KNIT + DETACHABEL '!Print_Area</vt:lpstr>
      <vt:lpstr>' VEST -1'!Print_Area</vt:lpstr>
      <vt:lpstr>'FRANCIS KNIT DETACHABLE FUR '!Print_Area</vt:lpstr>
      <vt:lpstr>'REESE MIX '!Print_Area</vt:lpstr>
      <vt:lpstr>'ROBERT '!Print_Area</vt:lpstr>
      <vt:lpstr>Sheet1!Print_Area</vt:lpstr>
      <vt:lpstr>TOWER!Print_Area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Zahoor Ahmed</dc:creator>
  <cp:lastModifiedBy>Zahoor Ahmed</cp:lastModifiedBy>
  <cp:lastPrinted>2026-01-14T05:03:46Z</cp:lastPrinted>
  <dcterms:created xsi:type="dcterms:W3CDTF">2025-10-10T12:20:52Z</dcterms:created>
  <dcterms:modified xsi:type="dcterms:W3CDTF">2026-07-01T11:29:37Z</dcterms:modified>
</cp:coreProperties>
</file>