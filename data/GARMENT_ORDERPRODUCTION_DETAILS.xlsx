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ad user\Desktop\Hamthan\Clinets\2-Factor\Backend\data\"/>
    </mc:Choice>
  </mc:AlternateContent>
  <bookViews>
    <workbookView minimized="1" xWindow="120" yWindow="105" windowWidth="28695" windowHeight="12540" activeTab="2"/>
  </bookViews>
  <sheets>
    <sheet name="KJ GARMENT ORDER" sheetId="3" r:id="rId1"/>
    <sheet name="KJ PRODUCTION" sheetId="4" r:id="rId2"/>
    <sheet name="GGZ-GARMENT ORDER" sheetId="5" r:id="rId3"/>
    <sheet name="GGZ-PRODUCTION" sheetId="6" r:id="rId4"/>
    <sheet name="NIPAL GARMENT ORDER" sheetId="1" r:id="rId5"/>
    <sheet name="NIPAL PRODUCTION" sheetId="2" r:id="rId6"/>
    <sheet name="RICANO-GARMENT ORDER" sheetId="7" r:id="rId7"/>
    <sheet name="RICANO PRODUCTION" sheetId="8" r:id="rId8"/>
    <sheet name="JP-GARMENT ORDER-1" sheetId="9" r:id="rId9"/>
    <sheet name="JP-GARMENT ORDER-2" sheetId="10" r:id="rId10"/>
    <sheet name="JP-PRODUCTION" sheetId="11" r:id="rId11"/>
    <sheet name="NIPAL-NEW GARMENT ORDER" sheetId="12" r:id="rId12"/>
    <sheet name="NIPAL-NEW PRODUCTION" sheetId="13" r:id="rId13"/>
  </sheets>
  <calcPr calcId="152511"/>
</workbook>
</file>

<file path=xl/calcChain.xml><?xml version="1.0" encoding="utf-8"?>
<calcChain xmlns="http://schemas.openxmlformats.org/spreadsheetml/2006/main">
  <c r="J39" i="13" l="1"/>
  <c r="J43" i="13" s="1"/>
  <c r="I39" i="13"/>
  <c r="I43" i="13" s="1"/>
  <c r="H39" i="13"/>
  <c r="H43" i="13" s="1"/>
  <c r="G39" i="13"/>
  <c r="D53" i="13" s="1"/>
  <c r="F39" i="13"/>
  <c r="D52" i="13" s="1"/>
  <c r="E39" i="13"/>
  <c r="E43" i="13" s="1"/>
  <c r="D39" i="13"/>
  <c r="D43" i="13" s="1"/>
  <c r="C39" i="13"/>
  <c r="D48" i="13" s="1"/>
  <c r="J9" i="13"/>
  <c r="J13" i="13" s="1"/>
  <c r="I9" i="13"/>
  <c r="I13" i="13" s="1"/>
  <c r="H9" i="13"/>
  <c r="H13" i="13" s="1"/>
  <c r="G9" i="13"/>
  <c r="D23" i="13" s="1"/>
  <c r="F9" i="13"/>
  <c r="D22" i="13" s="1"/>
  <c r="E9" i="13"/>
  <c r="E13" i="13" s="1"/>
  <c r="D9" i="13"/>
  <c r="D13" i="13" s="1"/>
  <c r="C9" i="13"/>
  <c r="D18" i="13" s="1"/>
  <c r="C43" i="13" l="1"/>
  <c r="G43" i="13"/>
  <c r="D51" i="13"/>
  <c r="D55" i="13"/>
  <c r="F43" i="13"/>
  <c r="D50" i="13"/>
  <c r="D54" i="13"/>
  <c r="D49" i="13"/>
  <c r="C13" i="13"/>
  <c r="G13" i="13"/>
  <c r="D21" i="13"/>
  <c r="D25" i="13"/>
  <c r="F13" i="13"/>
  <c r="D20" i="13"/>
  <c r="D24" i="13"/>
  <c r="D19" i="13"/>
  <c r="K43" i="13" l="1"/>
  <c r="K13" i="13"/>
  <c r="G32" i="12" l="1"/>
  <c r="G34" i="12" s="1"/>
  <c r="J27" i="12"/>
  <c r="J29" i="12" s="1"/>
  <c r="G20" i="12"/>
  <c r="G22" i="12" s="1"/>
  <c r="J15" i="12"/>
  <c r="J17" i="12" s="1"/>
  <c r="J8" i="12"/>
  <c r="J10" i="12" s="1"/>
  <c r="N3" i="12"/>
  <c r="N5" i="12" s="1"/>
  <c r="N36" i="12" l="1"/>
  <c r="J156" i="11"/>
  <c r="J160" i="11" s="1"/>
  <c r="I156" i="11"/>
  <c r="I160" i="11" s="1"/>
  <c r="H156" i="11"/>
  <c r="H160" i="11" s="1"/>
  <c r="G156" i="11"/>
  <c r="D170" i="11" s="1"/>
  <c r="F156" i="11"/>
  <c r="D169" i="11" s="1"/>
  <c r="E156" i="11"/>
  <c r="E160" i="11" s="1"/>
  <c r="D156" i="11"/>
  <c r="D160" i="11" s="1"/>
  <c r="C156" i="11"/>
  <c r="D165" i="11" s="1"/>
  <c r="J127" i="11"/>
  <c r="J131" i="11" s="1"/>
  <c r="I127" i="11"/>
  <c r="I131" i="11" s="1"/>
  <c r="H127" i="11"/>
  <c r="H131" i="11" s="1"/>
  <c r="G127" i="11"/>
  <c r="D141" i="11" s="1"/>
  <c r="F127" i="11"/>
  <c r="D140" i="11" s="1"/>
  <c r="E127" i="11"/>
  <c r="E131" i="11" s="1"/>
  <c r="D127" i="11"/>
  <c r="D131" i="11" s="1"/>
  <c r="C127" i="11"/>
  <c r="D136" i="11" s="1"/>
  <c r="J101" i="11"/>
  <c r="J105" i="11" s="1"/>
  <c r="I101" i="11"/>
  <c r="I105" i="11" s="1"/>
  <c r="H101" i="11"/>
  <c r="H105" i="11" s="1"/>
  <c r="G101" i="11"/>
  <c r="D115" i="11" s="1"/>
  <c r="F101" i="11"/>
  <c r="D114" i="11" s="1"/>
  <c r="E101" i="11"/>
  <c r="E105" i="11" s="1"/>
  <c r="D101" i="11"/>
  <c r="D105" i="11" s="1"/>
  <c r="C101" i="11"/>
  <c r="D110" i="11" s="1"/>
  <c r="J72" i="11"/>
  <c r="J76" i="11" s="1"/>
  <c r="I72" i="11"/>
  <c r="I76" i="11" s="1"/>
  <c r="H72" i="11"/>
  <c r="H76" i="11" s="1"/>
  <c r="G72" i="11"/>
  <c r="D86" i="11" s="1"/>
  <c r="F72" i="11"/>
  <c r="D85" i="11" s="1"/>
  <c r="D72" i="11"/>
  <c r="D76" i="11" s="1"/>
  <c r="C72" i="11"/>
  <c r="D81" i="11" s="1"/>
  <c r="E68" i="11"/>
  <c r="E72" i="11" s="1"/>
  <c r="J41" i="11"/>
  <c r="J45" i="11" s="1"/>
  <c r="I41" i="11"/>
  <c r="I45" i="11" s="1"/>
  <c r="H41" i="11"/>
  <c r="H45" i="11" s="1"/>
  <c r="G41" i="11"/>
  <c r="D55" i="11" s="1"/>
  <c r="F41" i="11"/>
  <c r="D54" i="11" s="1"/>
  <c r="E41" i="11"/>
  <c r="E45" i="11" s="1"/>
  <c r="D41" i="11"/>
  <c r="D45" i="11" s="1"/>
  <c r="C41" i="11"/>
  <c r="D50" i="11" s="1"/>
  <c r="I13" i="11"/>
  <c r="D25" i="11" s="1"/>
  <c r="H13" i="11"/>
  <c r="H17" i="11" s="1"/>
  <c r="G13" i="11"/>
  <c r="G17" i="11" s="1"/>
  <c r="F13" i="11"/>
  <c r="F17" i="11" s="1"/>
  <c r="E13" i="11"/>
  <c r="D24" i="11" s="1"/>
  <c r="D13" i="11"/>
  <c r="D23" i="11" s="1"/>
  <c r="C13" i="11"/>
  <c r="D22" i="11" s="1"/>
  <c r="D53" i="11" l="1"/>
  <c r="C160" i="11"/>
  <c r="G160" i="11"/>
  <c r="D168" i="11"/>
  <c r="D172" i="11"/>
  <c r="F160" i="11"/>
  <c r="D167" i="11"/>
  <c r="D171" i="11"/>
  <c r="D166" i="11"/>
  <c r="C131" i="11"/>
  <c r="G131" i="11"/>
  <c r="D139" i="11"/>
  <c r="D143" i="11"/>
  <c r="F131" i="11"/>
  <c r="D138" i="11"/>
  <c r="D142" i="11"/>
  <c r="D137" i="11"/>
  <c r="C105" i="11"/>
  <c r="G105" i="11"/>
  <c r="D113" i="11"/>
  <c r="D117" i="11"/>
  <c r="F105" i="11"/>
  <c r="D112" i="11"/>
  <c r="D116" i="11"/>
  <c r="D111" i="11"/>
  <c r="E76" i="11"/>
  <c r="D83" i="11"/>
  <c r="C76" i="11"/>
  <c r="G76" i="11"/>
  <c r="D84" i="11"/>
  <c r="D88" i="11"/>
  <c r="F76" i="11"/>
  <c r="D87" i="11"/>
  <c r="D82" i="11"/>
  <c r="G45" i="11"/>
  <c r="D57" i="11"/>
  <c r="F45" i="11"/>
  <c r="D52" i="11"/>
  <c r="D56" i="11"/>
  <c r="C45" i="11"/>
  <c r="K45" i="11" s="1"/>
  <c r="D51" i="11"/>
  <c r="E17" i="11"/>
  <c r="I17" i="11"/>
  <c r="D28" i="11"/>
  <c r="D17" i="11"/>
  <c r="D27" i="11"/>
  <c r="C17" i="11"/>
  <c r="J17" i="11" s="1"/>
  <c r="D26" i="11"/>
  <c r="K105" i="11" l="1"/>
  <c r="K160" i="11"/>
  <c r="K131" i="11"/>
  <c r="K76" i="11"/>
  <c r="R65" i="10" l="1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R3" i="10"/>
  <c r="R2" i="10"/>
  <c r="U77" i="9"/>
  <c r="U76" i="9"/>
  <c r="U75" i="9"/>
  <c r="U74" i="9"/>
  <c r="U73" i="9"/>
  <c r="U72" i="9"/>
  <c r="U71" i="9"/>
  <c r="U70" i="9"/>
  <c r="U69" i="9"/>
  <c r="U68" i="9"/>
  <c r="U67" i="9"/>
  <c r="U66" i="9"/>
  <c r="U65" i="9"/>
  <c r="U64" i="9"/>
  <c r="U63" i="9"/>
  <c r="U62" i="9"/>
  <c r="U61" i="9"/>
  <c r="U60" i="9"/>
  <c r="U59" i="9"/>
  <c r="U58" i="9"/>
  <c r="U57" i="9"/>
  <c r="U56" i="9"/>
  <c r="U55" i="9"/>
  <c r="U54" i="9"/>
  <c r="U53" i="9"/>
  <c r="U52" i="9"/>
  <c r="U51" i="9"/>
  <c r="U50" i="9"/>
  <c r="U49" i="9"/>
  <c r="U48" i="9"/>
  <c r="U47" i="9"/>
  <c r="U46" i="9"/>
  <c r="U45" i="9"/>
  <c r="U44" i="9"/>
  <c r="U43" i="9"/>
  <c r="U42" i="9"/>
  <c r="U41" i="9"/>
  <c r="U40" i="9"/>
  <c r="U39" i="9"/>
  <c r="U38" i="9"/>
  <c r="U37" i="9"/>
  <c r="U36" i="9"/>
  <c r="U35" i="9"/>
  <c r="U34" i="9"/>
  <c r="U33" i="9"/>
  <c r="U32" i="9"/>
  <c r="U31" i="9"/>
  <c r="U30" i="9"/>
  <c r="U29" i="9"/>
  <c r="U28" i="9"/>
  <c r="U27" i="9"/>
  <c r="U26" i="9"/>
  <c r="U25" i="9"/>
  <c r="U24" i="9"/>
  <c r="U23" i="9"/>
  <c r="U22" i="9"/>
  <c r="U21" i="9"/>
  <c r="U20" i="9"/>
  <c r="U19" i="9"/>
  <c r="U18" i="9"/>
  <c r="U17" i="9"/>
  <c r="U16" i="9"/>
  <c r="U15" i="9"/>
  <c r="U14" i="9"/>
  <c r="U13" i="9"/>
  <c r="U12" i="9"/>
  <c r="U11" i="9"/>
  <c r="U10" i="9"/>
  <c r="U9" i="9"/>
  <c r="U8" i="9"/>
  <c r="U7" i="9"/>
  <c r="U6" i="9"/>
  <c r="U5" i="9"/>
  <c r="U4" i="9"/>
  <c r="U3" i="9"/>
  <c r="U2" i="9"/>
  <c r="U79" i="9" l="1"/>
  <c r="F61" i="8"/>
  <c r="F65" i="8" s="1"/>
  <c r="E61" i="8"/>
  <c r="E65" i="8" s="1"/>
  <c r="D61" i="8"/>
  <c r="C72" i="8" s="1"/>
  <c r="C61" i="8"/>
  <c r="C71" i="8" s="1"/>
  <c r="B61" i="8"/>
  <c r="B65" i="8" s="1"/>
  <c r="F38" i="8"/>
  <c r="F42" i="8" s="1"/>
  <c r="E38" i="8"/>
  <c r="E42" i="8" s="1"/>
  <c r="D38" i="8"/>
  <c r="C49" i="8" s="1"/>
  <c r="C38" i="8"/>
  <c r="C48" i="8" s="1"/>
  <c r="B38" i="8"/>
  <c r="B42" i="8" s="1"/>
  <c r="H14" i="8"/>
  <c r="H10" i="8"/>
  <c r="C25" i="8" s="1"/>
  <c r="G10" i="8"/>
  <c r="C24" i="8" s="1"/>
  <c r="F10" i="8"/>
  <c r="C23" i="8" s="1"/>
  <c r="E10" i="8"/>
  <c r="C22" i="8" s="1"/>
  <c r="D10" i="8"/>
  <c r="C21" i="8" s="1"/>
  <c r="C10" i="8"/>
  <c r="C20" i="8" s="1"/>
  <c r="B10" i="8"/>
  <c r="C19" i="8" s="1"/>
  <c r="J13" i="7"/>
  <c r="J15" i="7" s="1"/>
  <c r="J8" i="7"/>
  <c r="J10" i="7" s="1"/>
  <c r="J3" i="7"/>
  <c r="J5" i="7" s="1"/>
  <c r="C47" i="8" l="1"/>
  <c r="C74" i="8"/>
  <c r="C51" i="8"/>
  <c r="C70" i="8"/>
  <c r="D14" i="8"/>
  <c r="C42" i="8"/>
  <c r="C65" i="8"/>
  <c r="D42" i="8"/>
  <c r="G42" i="8" s="1"/>
  <c r="D65" i="8"/>
  <c r="G65" i="8" s="1"/>
  <c r="C14" i="8"/>
  <c r="G14" i="8"/>
  <c r="C50" i="8"/>
  <c r="C73" i="8"/>
  <c r="B14" i="8"/>
  <c r="F14" i="8"/>
  <c r="E14" i="8"/>
  <c r="J19" i="7"/>
  <c r="I14" i="8" l="1"/>
  <c r="F10" i="6"/>
  <c r="F14" i="6" s="1"/>
  <c r="E10" i="6"/>
  <c r="E14" i="6" s="1"/>
  <c r="D10" i="6"/>
  <c r="D14" i="6" s="1"/>
  <c r="C10" i="6"/>
  <c r="D19" i="6" s="1"/>
  <c r="J3" i="5"/>
  <c r="J5" i="5" s="1"/>
  <c r="J11" i="5" s="1"/>
  <c r="C14" i="6" l="1"/>
  <c r="G14" i="6" s="1"/>
  <c r="D22" i="6"/>
  <c r="D21" i="6"/>
  <c r="D20" i="6"/>
  <c r="F119" i="4" l="1"/>
  <c r="F123" i="4" s="1"/>
  <c r="E119" i="4"/>
  <c r="E123" i="4" s="1"/>
  <c r="D119" i="4"/>
  <c r="D123" i="4" s="1"/>
  <c r="C119" i="4"/>
  <c r="D128" i="4" s="1"/>
  <c r="F98" i="4"/>
  <c r="F102" i="4" s="1"/>
  <c r="E98" i="4"/>
  <c r="E102" i="4" s="1"/>
  <c r="D98" i="4"/>
  <c r="D108" i="4" s="1"/>
  <c r="C98" i="4"/>
  <c r="C102" i="4" s="1"/>
  <c r="J70" i="4"/>
  <c r="J74" i="4" s="1"/>
  <c r="I70" i="4"/>
  <c r="I74" i="4" s="1"/>
  <c r="H70" i="4"/>
  <c r="H74" i="4" s="1"/>
  <c r="G70" i="4"/>
  <c r="D84" i="4" s="1"/>
  <c r="F70" i="4"/>
  <c r="D83" i="4" s="1"/>
  <c r="E70" i="4"/>
  <c r="E74" i="4" s="1"/>
  <c r="D70" i="4"/>
  <c r="D74" i="4" s="1"/>
  <c r="C70" i="4"/>
  <c r="D79" i="4" s="1"/>
  <c r="J41" i="4"/>
  <c r="J45" i="4" s="1"/>
  <c r="I41" i="4"/>
  <c r="I45" i="4" s="1"/>
  <c r="H41" i="4"/>
  <c r="D56" i="4" s="1"/>
  <c r="G41" i="4"/>
  <c r="D55" i="4" s="1"/>
  <c r="E41" i="4"/>
  <c r="E45" i="4" s="1"/>
  <c r="D41" i="4"/>
  <c r="D51" i="4" s="1"/>
  <c r="C41" i="4"/>
  <c r="C45" i="4" s="1"/>
  <c r="F36" i="4"/>
  <c r="F41" i="4" s="1"/>
  <c r="J10" i="4"/>
  <c r="D26" i="4" s="1"/>
  <c r="I10" i="4"/>
  <c r="D22" i="4" s="1"/>
  <c r="H10" i="4"/>
  <c r="H14" i="4" s="1"/>
  <c r="G10" i="4"/>
  <c r="G14" i="4" s="1"/>
  <c r="F10" i="4"/>
  <c r="D23" i="4" s="1"/>
  <c r="E10" i="4"/>
  <c r="E14" i="4" s="1"/>
  <c r="D10" i="4"/>
  <c r="D14" i="4" s="1"/>
  <c r="C10" i="4"/>
  <c r="C14" i="4" s="1"/>
  <c r="K28" i="3"/>
  <c r="K27" i="3"/>
  <c r="K26" i="3"/>
  <c r="Q20" i="3"/>
  <c r="Q19" i="3"/>
  <c r="Q18" i="3"/>
  <c r="Q22" i="3" s="1"/>
  <c r="N12" i="3"/>
  <c r="N11" i="3"/>
  <c r="N10" i="3"/>
  <c r="N14" i="3" s="1"/>
  <c r="J4" i="3"/>
  <c r="J3" i="3"/>
  <c r="D86" i="4" l="1"/>
  <c r="J6" i="3"/>
  <c r="K30" i="3"/>
  <c r="J35" i="3" s="1"/>
  <c r="D82" i="4"/>
  <c r="D110" i="4"/>
  <c r="D50" i="4"/>
  <c r="D130" i="4"/>
  <c r="D102" i="4"/>
  <c r="G102" i="4" s="1"/>
  <c r="D107" i="4"/>
  <c r="C123" i="4"/>
  <c r="G123" i="4" s="1"/>
  <c r="D131" i="4"/>
  <c r="D109" i="4"/>
  <c r="D129" i="4"/>
  <c r="F45" i="4"/>
  <c r="K45" i="4" s="1"/>
  <c r="D54" i="4"/>
  <c r="F14" i="4"/>
  <c r="J14" i="4"/>
  <c r="D21" i="4"/>
  <c r="D25" i="4"/>
  <c r="D45" i="4"/>
  <c r="H45" i="4"/>
  <c r="C74" i="4"/>
  <c r="G74" i="4"/>
  <c r="I14" i="4"/>
  <c r="D20" i="4"/>
  <c r="D24" i="4"/>
  <c r="G45" i="4"/>
  <c r="D53" i="4"/>
  <c r="D57" i="4"/>
  <c r="F74" i="4"/>
  <c r="D81" i="4"/>
  <c r="D85" i="4"/>
  <c r="D19" i="4"/>
  <c r="D52" i="4"/>
  <c r="D80" i="4"/>
  <c r="K14" i="4" l="1"/>
  <c r="K74" i="4"/>
  <c r="H13" i="2" l="1"/>
  <c r="G13" i="2"/>
  <c r="G17" i="2" s="1"/>
  <c r="F13" i="2"/>
  <c r="C26" i="2" s="1"/>
  <c r="E13" i="2"/>
  <c r="C25" i="2" s="1"/>
  <c r="C13" i="2"/>
  <c r="C23" i="2" s="1"/>
  <c r="D5" i="2"/>
  <c r="D13" i="2" s="1"/>
  <c r="B3" i="2"/>
  <c r="B13" i="2" s="1"/>
  <c r="L8" i="1"/>
  <c r="L10" i="1" s="1"/>
  <c r="L3" i="1"/>
  <c r="L5" i="1" s="1"/>
  <c r="L13" i="1" l="1"/>
  <c r="C27" i="2"/>
  <c r="C24" i="2"/>
  <c r="D17" i="2"/>
  <c r="C22" i="2"/>
  <c r="B17" i="2"/>
  <c r="H17" i="2"/>
  <c r="C28" i="2"/>
  <c r="C17" i="2"/>
  <c r="F17" i="2"/>
  <c r="E17" i="2"/>
  <c r="I17" i="2" l="1"/>
</calcChain>
</file>

<file path=xl/sharedStrings.xml><?xml version="1.0" encoding="utf-8"?>
<sst xmlns="http://schemas.openxmlformats.org/spreadsheetml/2006/main" count="1005" uniqueCount="159">
  <si>
    <t>NIPAL ORDER</t>
  </si>
  <si>
    <t>S.NO</t>
  </si>
  <si>
    <t>STYLE</t>
  </si>
  <si>
    <t>SUEDE COLOUR</t>
  </si>
  <si>
    <t>TOTAL</t>
  </si>
  <si>
    <t>PL00032UR</t>
  </si>
  <si>
    <t>MORO(981)</t>
  </si>
  <si>
    <t>MORO(982)</t>
  </si>
  <si>
    <t>GRAND TOTAL</t>
  </si>
  <si>
    <t>.</t>
  </si>
  <si>
    <t>PL00032UR-COLOUR:MORO PRODUCTION=259(ITALY+USA)</t>
  </si>
  <si>
    <t>WEEK PERIOD</t>
  </si>
  <si>
    <t>CUTTING</t>
  </si>
  <si>
    <t>FUSING</t>
  </si>
  <si>
    <t>PASTING</t>
  </si>
  <si>
    <t>SHELL</t>
  </si>
  <si>
    <t>L/A</t>
  </si>
  <si>
    <t>FF</t>
  </si>
  <si>
    <t>FF-SAMPLE</t>
  </si>
  <si>
    <t>13/03/2026 TO 19/03/2026</t>
  </si>
  <si>
    <t>20/03/2026 to 26/03/2026</t>
  </si>
  <si>
    <t>27/03/2026 to 02/04/2026</t>
  </si>
  <si>
    <t>SARWARE ALAM+ASGAR ALI(13/3/2026 TO 31/03/26)</t>
  </si>
  <si>
    <t>03/03/2026 to 09/04/2026</t>
  </si>
  <si>
    <t>LADIES GROUP TAILOR</t>
  </si>
  <si>
    <t>10/04/2026 TO 16/04/2026</t>
  </si>
  <si>
    <t>SARWARE ALAM+ASGAR ALI(01/04/2026 TO 15/04/26)</t>
  </si>
  <si>
    <t>QTY :</t>
  </si>
  <si>
    <t>RATE :</t>
  </si>
  <si>
    <t>TOTAL :</t>
  </si>
  <si>
    <t>Overall Total :</t>
  </si>
  <si>
    <t>KHAWAJA ORDER</t>
  </si>
  <si>
    <t>COLOUR</t>
  </si>
  <si>
    <t>CEYLON-HIRMA</t>
  </si>
  <si>
    <t>LIGHT TOBAC</t>
  </si>
  <si>
    <t>DARK NAVY</t>
  </si>
  <si>
    <t>CLINTON-HIRMA</t>
  </si>
  <si>
    <t>KHAKI</t>
  </si>
  <si>
    <t>CLINTON-HTX(ANDRE CHRISTIAN)</t>
  </si>
  <si>
    <t>TOBAC</t>
  </si>
  <si>
    <t>CLINTON-KJ(JILANI)</t>
  </si>
  <si>
    <t>CLINTON-TOBAC-100 PCS</t>
  </si>
  <si>
    <t>OVERALL-PCS TALLYED</t>
  </si>
  <si>
    <t>Cutting started date</t>
  </si>
  <si>
    <t>LINING STICH</t>
  </si>
  <si>
    <t>14/01/2026 TO 22/01/2026</t>
  </si>
  <si>
    <t>23/01/2026 TO 29/01/2026</t>
  </si>
  <si>
    <t>SARWARE-(14/01/2026 TO 30/01/2026)</t>
  </si>
  <si>
    <t>30/01/2026 TO 05/02/2026</t>
  </si>
  <si>
    <t>APSASR-(31/01/2026 TO 14/02/2026)</t>
  </si>
  <si>
    <t>SARWARE-(31/01/2026 TO 13/02/2026)</t>
  </si>
  <si>
    <t>L/S</t>
  </si>
  <si>
    <t>CLINTON-NAVY-136 PCS</t>
  </si>
  <si>
    <t>03/01/2026 TO 08/01/2026</t>
  </si>
  <si>
    <t>09/01/2026 TO 13/01/2026</t>
  </si>
  <si>
    <t>APSAR KHAN-(02/01/2026 TO 13/01/2026)</t>
  </si>
  <si>
    <t>APSAR KHAN-(14/01/2026 TO 30/01/2026)</t>
  </si>
  <si>
    <t>APSAR KHAN-(31/01/2026 TO 13/02/2026)</t>
  </si>
  <si>
    <t xml:space="preserve"> </t>
  </si>
  <si>
    <t>CLINTON-KHAKI-87 PCS</t>
  </si>
  <si>
    <t>CEYLON-TOBAC-15 PCS(HIRMA)</t>
  </si>
  <si>
    <t>CEYLON-NAVY-15 PCS(HIRMA)</t>
  </si>
  <si>
    <t>GGZ-SRL</t>
  </si>
  <si>
    <t>BOMBER A</t>
  </si>
  <si>
    <t>MORO</t>
  </si>
  <si>
    <t>BOMBER A-MORO-146 PCS</t>
  </si>
  <si>
    <t>14/01/2026  TO 22/01/2026</t>
  </si>
  <si>
    <t>SARWARE(FROM 14/01/2026 TO 29/01/2026)</t>
  </si>
  <si>
    <t>RICANO ORDER</t>
  </si>
  <si>
    <t>S</t>
  </si>
  <si>
    <t>M</t>
  </si>
  <si>
    <t>L</t>
  </si>
  <si>
    <t>XL</t>
  </si>
  <si>
    <t>XXL</t>
  </si>
  <si>
    <t>3XL</t>
  </si>
  <si>
    <t>RICANO-1</t>
  </si>
  <si>
    <t>VANILLA</t>
  </si>
  <si>
    <t>RIACNO-2</t>
  </si>
  <si>
    <t>SALVIA</t>
  </si>
  <si>
    <t>RICANO-3</t>
  </si>
  <si>
    <t>RED BROWN</t>
  </si>
  <si>
    <t>RICANO:3-PRODUCTION TOTAL=50 PCS(RED BROWN)=51</t>
  </si>
  <si>
    <t>ALL PCS TALLYED IN 3 COLOURS</t>
  </si>
  <si>
    <t>06/03/2026 TO 12/03/2026</t>
  </si>
  <si>
    <t>SARWARE ALAM+ASGAR ALI(01/3/2026 TO 12/03/26)</t>
  </si>
  <si>
    <t>03/04/2026 to 09/04/2026</t>
  </si>
  <si>
    <t>RICANO:1-PRODUCTION TOTAL=50 PCS(VANILLA)=52</t>
  </si>
  <si>
    <t>27/03/2026 TO 02/04/2026</t>
  </si>
  <si>
    <t>RICANO:2-PRODUCTION TOTAL=50 PCS(SALVIA)</t>
  </si>
  <si>
    <t>RICANO-2</t>
  </si>
  <si>
    <t>Date</t>
  </si>
  <si>
    <t xml:space="preserve">Style </t>
  </si>
  <si>
    <t xml:space="preserve">SUEDE COLOUR </t>
  </si>
  <si>
    <t>ARTICLE</t>
  </si>
  <si>
    <t>TOTAL QTY</t>
  </si>
  <si>
    <t xml:space="preserve">CARNABY </t>
  </si>
  <si>
    <t>PINE GREEN</t>
  </si>
  <si>
    <t xml:space="preserve">GOAT SUEDE </t>
  </si>
  <si>
    <t xml:space="preserve">CLERMONT </t>
  </si>
  <si>
    <t>WHISKY</t>
  </si>
  <si>
    <t>DARK BROWN</t>
  </si>
  <si>
    <t>FOREST</t>
  </si>
  <si>
    <t>CLERMONT + VEST</t>
  </si>
  <si>
    <t xml:space="preserve">FLAVIO KNIT </t>
  </si>
  <si>
    <t>FLAVIO KNIT + FUR DETACH</t>
  </si>
  <si>
    <t>FRANCIS KNIT</t>
  </si>
  <si>
    <t>RICE</t>
  </si>
  <si>
    <t>FRANCIS KNIT + DETACH</t>
  </si>
  <si>
    <t xml:space="preserve">SHINOBI KNIT </t>
  </si>
  <si>
    <t>SHINOBI KNIT + DETACH</t>
  </si>
  <si>
    <t>TOWER</t>
  </si>
  <si>
    <t>VIRGILIO MIX</t>
  </si>
  <si>
    <t xml:space="preserve">VEST CLERMONT </t>
  </si>
  <si>
    <t>NYLON +TEXTILE</t>
  </si>
  <si>
    <t>ADELE KNIT</t>
  </si>
  <si>
    <t>ADELE KNIT + DETACH</t>
  </si>
  <si>
    <t>ISLAY</t>
  </si>
  <si>
    <t>ALGA</t>
  </si>
  <si>
    <t>REESE WOOL</t>
  </si>
  <si>
    <t>NAVY BLUE</t>
  </si>
  <si>
    <t>SANDY</t>
  </si>
  <si>
    <t xml:space="preserve">KNIT COLOUR </t>
  </si>
  <si>
    <t>NYLON COLOUR</t>
  </si>
  <si>
    <t>FLAVIO KNIT</t>
  </si>
  <si>
    <t xml:space="preserve">CHOCO </t>
  </si>
  <si>
    <t>BEIGE MELANGE</t>
  </si>
  <si>
    <t xml:space="preserve">DARK BLUE </t>
  </si>
  <si>
    <t>STONE MELAGE</t>
  </si>
  <si>
    <t xml:space="preserve">BEIGE  NYLON </t>
  </si>
  <si>
    <t xml:space="preserve">DARK BLUE NYLON </t>
  </si>
  <si>
    <t xml:space="preserve">ANTHRACYTE </t>
  </si>
  <si>
    <t>BROWN MELAGE</t>
  </si>
  <si>
    <t xml:space="preserve">BEIGE WOOL </t>
  </si>
  <si>
    <t xml:space="preserve">ANTHRACYTE  WOOL </t>
  </si>
  <si>
    <t>CARNABY-PINE GREEN-152 PCS</t>
  </si>
  <si>
    <t>Cutting started-after</t>
  </si>
  <si>
    <t>20/03/2026 TO 26/03/2026</t>
  </si>
  <si>
    <t>03/04/2026 TO 09/04/2026</t>
  </si>
  <si>
    <t>10/04/2026 TO16/04/2026</t>
  </si>
  <si>
    <t>17/04/2026 TO 23/04/2026</t>
  </si>
  <si>
    <t>24/04/2026 TO 30/04/2026</t>
  </si>
  <si>
    <t>01/05/2026 TO 07/05/2026</t>
  </si>
  <si>
    <t>08/05/2026 TO 14/05/2026</t>
  </si>
  <si>
    <t>ISLAY-ALL COLOURS(1ST-139 &amp; 2ND-71 ORDER)-210 PCS</t>
  </si>
  <si>
    <t>FF-SMS</t>
  </si>
  <si>
    <t>15/05/2026 TO 21/05/2026</t>
  </si>
  <si>
    <t>FRANCIS KNIT-ALL COLOURS(1ST-232 &amp; 2ND-121 ORDER)-353+50=403</t>
  </si>
  <si>
    <t>TOWER-ALL COLOURS(1ST-106 &amp; 2ND-41 ORDER)-147 PCS</t>
  </si>
  <si>
    <t>SANDY-ALL COLOURS(1ST-46 &amp; 2ND-8 ORDER)-54 PCS</t>
  </si>
  <si>
    <t>ADELE KNIT-ALL COLOURS(1ST-180 &amp; 2ND-191 ORDER)-371 PCS</t>
  </si>
  <si>
    <t>PL000137U</t>
  </si>
  <si>
    <t>MORO-ITALY</t>
  </si>
  <si>
    <t>MORO-USA</t>
  </si>
  <si>
    <t>NAVY-ITALY</t>
  </si>
  <si>
    <t>NAVY-USA</t>
  </si>
  <si>
    <t>PL000139U</t>
  </si>
  <si>
    <t>NIPAL-PRODUCTION</t>
  </si>
  <si>
    <t>PL000137U: MORO-346 PCS</t>
  </si>
  <si>
    <t>PL000139U: NAVY BLUE-36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</si>
</sst>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5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0" fillId="0" borderId="6" xfId="0" applyBorder="1"/>
    <xf numFmtId="14" fontId="3" fillId="0" borderId="5" xfId="0" applyNumberFormat="1" applyFont="1" applyBorder="1" applyAlignment="1">
      <alignment horizontal="left"/>
    </xf>
    <xf numFmtId="0" fontId="6" fillId="0" borderId="5" xfId="0" applyFont="1" applyFill="1" applyBorder="1" applyAlignment="1">
      <alignment horizontal="center"/>
    </xf>
    <xf numFmtId="0" fontId="6" fillId="0" borderId="5" xfId="0" quotePrefix="1" applyFont="1" applyFill="1" applyBorder="1" applyAlignment="1">
      <alignment horizontal="center"/>
    </xf>
    <xf numFmtId="0" fontId="6" fillId="0" borderId="10" xfId="0" quotePrefix="1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8" fillId="0" borderId="5" xfId="0" quotePrefix="1" applyFont="1" applyFill="1" applyBorder="1" applyAlignment="1">
      <alignment horizontal="center"/>
    </xf>
    <xf numFmtId="0" fontId="3" fillId="0" borderId="0" xfId="0" applyFont="1"/>
    <xf numFmtId="14" fontId="3" fillId="0" borderId="5" xfId="0" applyNumberFormat="1" applyFont="1" applyBorder="1" applyAlignment="1">
      <alignment horizontal="left" wrapText="1"/>
    </xf>
    <xf numFmtId="0" fontId="8" fillId="0" borderId="10" xfId="0" quotePrefix="1" applyFont="1" applyFill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quotePrefix="1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9" fillId="0" borderId="5" xfId="0" applyFont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/>
    <xf numFmtId="0" fontId="9" fillId="0" borderId="0" xfId="0" applyFont="1" applyAlignment="1"/>
    <xf numFmtId="0" fontId="9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/>
    </xf>
    <xf numFmtId="14" fontId="0" fillId="0" borderId="0" xfId="0" applyNumberFormat="1"/>
    <xf numFmtId="0" fontId="9" fillId="0" borderId="9" xfId="0" applyFont="1" applyBorder="1" applyAlignment="1">
      <alignment horizontal="center" vertical="center"/>
    </xf>
    <xf numFmtId="0" fontId="15" fillId="0" borderId="1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0" fillId="0" borderId="0" xfId="0" applyBorder="1"/>
    <xf numFmtId="0" fontId="5" fillId="4" borderId="12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Fill="1" applyBorder="1" applyAlignment="1">
      <alignment horizontal="center"/>
    </xf>
    <xf numFmtId="0" fontId="3" fillId="0" borderId="5" xfId="0" quotePrefix="1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quotePrefix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14" fillId="0" borderId="0" xfId="0" applyFont="1" applyAlignment="1"/>
    <xf numFmtId="0" fontId="14" fillId="0" borderId="0" xfId="0" applyFont="1" applyAlignment="1">
      <alignment horizontal="center"/>
    </xf>
    <xf numFmtId="14" fontId="0" fillId="0" borderId="5" xfId="0" applyNumberFormat="1" applyFill="1" applyBorder="1" applyAlignment="1">
      <alignment horizontal="left"/>
    </xf>
    <xf numFmtId="0" fontId="3" fillId="0" borderId="11" xfId="0" applyFont="1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13" fillId="0" borderId="0" xfId="0" applyFont="1"/>
    <xf numFmtId="14" fontId="3" fillId="0" borderId="5" xfId="0" applyNumberFormat="1" applyFont="1" applyFill="1" applyBorder="1" applyAlignment="1">
      <alignment horizontal="left"/>
    </xf>
    <xf numFmtId="0" fontId="16" fillId="7" borderId="5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3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 wrapText="1"/>
    </xf>
    <xf numFmtId="0" fontId="10" fillId="0" borderId="0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14" fontId="8" fillId="0" borderId="5" xfId="0" applyNumberFormat="1" applyFon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7" fillId="6" borderId="7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center" wrapText="1"/>
    </xf>
    <xf numFmtId="0" fontId="7" fillId="6" borderId="9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/>
    </xf>
    <xf numFmtId="0" fontId="20" fillId="8" borderId="2" xfId="0" applyFont="1" applyFill="1" applyBorder="1" applyAlignment="1">
      <alignment horizontal="center"/>
    </xf>
    <xf numFmtId="0" fontId="20" fillId="8" borderId="3" xfId="0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opLeftCell="A16" workbookViewId="0">
      <selection activeCell="B37" sqref="B37"/>
    </sheetView>
  </sheetViews>
  <sheetFormatPr defaultRowHeight="15" x14ac:dyDescent="0.25"/>
  <cols>
    <col min="1" max="1" width="10.28515625" customWidth="1"/>
    <col min="2" max="2" width="28" customWidth="1"/>
    <col min="3" max="3" width="13.85546875" customWidth="1"/>
    <col min="4" max="9" width="6.7109375" customWidth="1"/>
    <col min="10" max="10" width="7.28515625" customWidth="1"/>
    <col min="11" max="12" width="7.42578125" customWidth="1"/>
  </cols>
  <sheetData>
    <row r="1" spans="1:18" ht="27" customHeight="1" thickBot="1" x14ac:dyDescent="0.45">
      <c r="A1" s="85" t="s">
        <v>31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/>
    </row>
    <row r="2" spans="1:18" ht="15.75" x14ac:dyDescent="0.25">
      <c r="A2" s="1" t="s">
        <v>1</v>
      </c>
      <c r="B2" s="1" t="s">
        <v>2</v>
      </c>
      <c r="C2" s="1" t="s">
        <v>32</v>
      </c>
      <c r="D2" s="2">
        <v>46</v>
      </c>
      <c r="E2" s="2">
        <v>48</v>
      </c>
      <c r="F2" s="2">
        <v>50</v>
      </c>
      <c r="G2" s="2">
        <v>52</v>
      </c>
      <c r="H2" s="2">
        <v>54</v>
      </c>
      <c r="I2" s="2">
        <v>56</v>
      </c>
      <c r="J2" s="3" t="s">
        <v>4</v>
      </c>
    </row>
    <row r="3" spans="1:18" ht="17.25" x14ac:dyDescent="0.3">
      <c r="A3" s="4">
        <v>1</v>
      </c>
      <c r="B3" s="88" t="s">
        <v>33</v>
      </c>
      <c r="C3" s="5" t="s">
        <v>34</v>
      </c>
      <c r="D3" s="10">
        <v>1</v>
      </c>
      <c r="E3" s="10">
        <v>2</v>
      </c>
      <c r="F3" s="10">
        <v>4</v>
      </c>
      <c r="G3" s="10">
        <v>3</v>
      </c>
      <c r="H3" s="10">
        <v>3</v>
      </c>
      <c r="I3" s="10">
        <v>2</v>
      </c>
      <c r="J3" s="4">
        <f>SUM(D3:I3)</f>
        <v>15</v>
      </c>
    </row>
    <row r="4" spans="1:18" ht="17.25" x14ac:dyDescent="0.3">
      <c r="A4" s="4">
        <v>2</v>
      </c>
      <c r="B4" s="89"/>
      <c r="C4" s="5" t="s">
        <v>35</v>
      </c>
      <c r="D4" s="10">
        <v>1</v>
      </c>
      <c r="E4" s="10">
        <v>2</v>
      </c>
      <c r="F4" s="10">
        <v>4</v>
      </c>
      <c r="G4" s="10">
        <v>3</v>
      </c>
      <c r="H4" s="10">
        <v>3</v>
      </c>
      <c r="I4" s="10">
        <v>2</v>
      </c>
      <c r="J4" s="4">
        <f>SUM(D4:I4)</f>
        <v>15</v>
      </c>
    </row>
    <row r="5" spans="1:18" ht="15.75" thickBot="1" x14ac:dyDescent="0.3">
      <c r="E5" s="20"/>
    </row>
    <row r="6" spans="1:18" ht="20.25" thickBot="1" x14ac:dyDescent="0.35">
      <c r="J6" s="6">
        <f>SUM(J3:J5)</f>
        <v>30</v>
      </c>
      <c r="K6" s="7"/>
    </row>
    <row r="7" spans="1:18" ht="10.5" customHeight="1" x14ac:dyDescent="0.3">
      <c r="J7" s="11"/>
      <c r="K7" s="7"/>
    </row>
    <row r="8" spans="1:18" ht="10.5" customHeight="1" x14ac:dyDescent="0.3">
      <c r="N8" s="11"/>
      <c r="O8" s="7"/>
    </row>
    <row r="9" spans="1:18" ht="15.75" x14ac:dyDescent="0.25">
      <c r="A9" s="8" t="s">
        <v>1</v>
      </c>
      <c r="B9" s="8" t="s">
        <v>2</v>
      </c>
      <c r="C9" s="8" t="s">
        <v>32</v>
      </c>
      <c r="D9" s="40">
        <v>25</v>
      </c>
      <c r="E9" s="40">
        <v>26</v>
      </c>
      <c r="F9" s="40">
        <v>27</v>
      </c>
      <c r="G9" s="40">
        <v>28</v>
      </c>
      <c r="H9" s="40">
        <v>46</v>
      </c>
      <c r="I9" s="40">
        <v>48</v>
      </c>
      <c r="J9" s="40">
        <v>50</v>
      </c>
      <c r="K9" s="40">
        <v>52</v>
      </c>
      <c r="L9" s="40">
        <v>54</v>
      </c>
      <c r="M9" s="40">
        <v>56</v>
      </c>
      <c r="N9" s="9" t="s">
        <v>4</v>
      </c>
    </row>
    <row r="10" spans="1:18" ht="17.25" x14ac:dyDescent="0.3">
      <c r="A10" s="4">
        <v>3</v>
      </c>
      <c r="B10" s="88" t="s">
        <v>36</v>
      </c>
      <c r="C10" s="5" t="s">
        <v>34</v>
      </c>
      <c r="D10" s="10">
        <v>3</v>
      </c>
      <c r="E10" s="10">
        <v>3</v>
      </c>
      <c r="F10" s="10">
        <v>2</v>
      </c>
      <c r="G10" s="10">
        <v>2</v>
      </c>
      <c r="H10" s="10">
        <v>1</v>
      </c>
      <c r="I10" s="10">
        <v>3</v>
      </c>
      <c r="J10" s="10">
        <v>4</v>
      </c>
      <c r="K10" s="10">
        <v>4</v>
      </c>
      <c r="L10" s="10">
        <v>4</v>
      </c>
      <c r="M10" s="10">
        <v>2</v>
      </c>
      <c r="N10" s="4">
        <f>SUM(D10:M10)</f>
        <v>28</v>
      </c>
    </row>
    <row r="11" spans="1:18" ht="17.25" x14ac:dyDescent="0.3">
      <c r="A11" s="4">
        <v>4</v>
      </c>
      <c r="B11" s="90"/>
      <c r="C11" s="5" t="s">
        <v>35</v>
      </c>
      <c r="D11" s="10">
        <v>3</v>
      </c>
      <c r="E11" s="10">
        <v>3</v>
      </c>
      <c r="F11" s="10">
        <v>3</v>
      </c>
      <c r="G11" s="10">
        <v>2</v>
      </c>
      <c r="H11" s="10">
        <v>1</v>
      </c>
      <c r="I11" s="10">
        <v>3</v>
      </c>
      <c r="J11" s="10">
        <v>4</v>
      </c>
      <c r="K11" s="10">
        <v>4</v>
      </c>
      <c r="L11" s="10">
        <v>4</v>
      </c>
      <c r="M11" s="10">
        <v>3</v>
      </c>
      <c r="N11" s="4">
        <f>SUM(D11:M11)</f>
        <v>30</v>
      </c>
    </row>
    <row r="12" spans="1:18" ht="17.25" x14ac:dyDescent="0.3">
      <c r="A12" s="4">
        <v>5</v>
      </c>
      <c r="B12" s="89"/>
      <c r="C12" s="5" t="s">
        <v>37</v>
      </c>
      <c r="D12" s="10">
        <v>2</v>
      </c>
      <c r="E12" s="10">
        <v>2</v>
      </c>
      <c r="F12" s="10">
        <v>2</v>
      </c>
      <c r="G12" s="10">
        <v>2</v>
      </c>
      <c r="H12" s="10">
        <v>1</v>
      </c>
      <c r="I12" s="10">
        <v>2</v>
      </c>
      <c r="J12" s="10">
        <v>3</v>
      </c>
      <c r="K12" s="10">
        <v>3</v>
      </c>
      <c r="L12" s="10">
        <v>3</v>
      </c>
      <c r="M12" s="10">
        <v>2</v>
      </c>
      <c r="N12" s="4">
        <f>SUM(D12:M12)</f>
        <v>22</v>
      </c>
    </row>
    <row r="13" spans="1:18" ht="15.75" thickBot="1" x14ac:dyDescent="0.3">
      <c r="D13" s="20"/>
      <c r="E13" s="20"/>
      <c r="M13" s="20"/>
    </row>
    <row r="14" spans="1:18" ht="20.25" thickBot="1" x14ac:dyDescent="0.35">
      <c r="N14" s="6">
        <f>SUM(N10:N13)</f>
        <v>80</v>
      </c>
      <c r="O14" s="7"/>
    </row>
    <row r="15" spans="1:18" ht="13.5" customHeight="1" x14ac:dyDescent="0.3">
      <c r="N15" s="11"/>
      <c r="O15" s="7"/>
    </row>
    <row r="16" spans="1:18" ht="13.5" customHeight="1" x14ac:dyDescent="0.3">
      <c r="Q16" s="11"/>
      <c r="R16" s="7"/>
    </row>
    <row r="17" spans="1:19" ht="15.75" x14ac:dyDescent="0.25">
      <c r="A17" s="8" t="s">
        <v>1</v>
      </c>
      <c r="B17" s="8" t="s">
        <v>2</v>
      </c>
      <c r="C17" s="8" t="s">
        <v>32</v>
      </c>
      <c r="D17" s="40">
        <v>25</v>
      </c>
      <c r="E17" s="40">
        <v>26</v>
      </c>
      <c r="F17" s="40">
        <v>27</v>
      </c>
      <c r="G17" s="40">
        <v>28</v>
      </c>
      <c r="H17" s="40">
        <v>29</v>
      </c>
      <c r="I17" s="40">
        <v>30</v>
      </c>
      <c r="J17" s="40">
        <v>31</v>
      </c>
      <c r="K17" s="40">
        <v>52</v>
      </c>
      <c r="L17" s="40">
        <v>54</v>
      </c>
      <c r="M17" s="40">
        <v>56</v>
      </c>
      <c r="N17" s="40">
        <v>58</v>
      </c>
      <c r="O17" s="40">
        <v>60</v>
      </c>
      <c r="P17" s="40">
        <v>62</v>
      </c>
      <c r="Q17" s="9" t="s">
        <v>4</v>
      </c>
    </row>
    <row r="18" spans="1:19" ht="17.25" x14ac:dyDescent="0.3">
      <c r="A18" s="4">
        <v>1</v>
      </c>
      <c r="B18" s="91" t="s">
        <v>38</v>
      </c>
      <c r="C18" s="5" t="s">
        <v>39</v>
      </c>
      <c r="D18" s="10">
        <v>4</v>
      </c>
      <c r="E18" s="4">
        <v>0</v>
      </c>
      <c r="F18" s="10">
        <v>5</v>
      </c>
      <c r="G18" s="10">
        <v>4</v>
      </c>
      <c r="H18" s="10">
        <v>1</v>
      </c>
      <c r="I18" s="10">
        <v>3</v>
      </c>
      <c r="J18" s="10">
        <v>0</v>
      </c>
      <c r="K18" s="4">
        <v>0</v>
      </c>
      <c r="L18" s="4">
        <v>0</v>
      </c>
      <c r="M18" s="10">
        <v>3</v>
      </c>
      <c r="N18" s="4">
        <v>0</v>
      </c>
      <c r="O18" s="4">
        <v>0</v>
      </c>
      <c r="P18" s="10">
        <v>3</v>
      </c>
      <c r="Q18" s="4">
        <f>SUM(D18:P18)</f>
        <v>23</v>
      </c>
    </row>
    <row r="19" spans="1:19" ht="17.25" x14ac:dyDescent="0.3">
      <c r="A19" s="4">
        <v>2</v>
      </c>
      <c r="B19" s="92"/>
      <c r="C19" s="5" t="s">
        <v>35</v>
      </c>
      <c r="D19" s="4">
        <v>0</v>
      </c>
      <c r="E19" s="10">
        <v>4</v>
      </c>
      <c r="F19" s="10">
        <v>3</v>
      </c>
      <c r="G19" s="10">
        <v>1</v>
      </c>
      <c r="H19" s="10">
        <v>6</v>
      </c>
      <c r="I19" s="10">
        <v>3</v>
      </c>
      <c r="J19" s="10">
        <v>5</v>
      </c>
      <c r="K19" s="10">
        <v>2</v>
      </c>
      <c r="L19" s="10">
        <v>4</v>
      </c>
      <c r="M19" s="4">
        <v>0</v>
      </c>
      <c r="N19" s="10">
        <v>6</v>
      </c>
      <c r="O19" s="10">
        <v>6</v>
      </c>
      <c r="P19" s="10">
        <v>6</v>
      </c>
      <c r="Q19" s="4">
        <f>SUM(D19:P19)</f>
        <v>46</v>
      </c>
    </row>
    <row r="20" spans="1:19" ht="17.25" x14ac:dyDescent="0.3">
      <c r="A20" s="4">
        <v>3</v>
      </c>
      <c r="B20" s="93"/>
      <c r="C20" s="5" t="s">
        <v>37</v>
      </c>
      <c r="D20" s="4">
        <v>0</v>
      </c>
      <c r="E20" s="4">
        <v>0</v>
      </c>
      <c r="F20" s="10">
        <v>2</v>
      </c>
      <c r="G20" s="10">
        <v>1</v>
      </c>
      <c r="H20" s="10">
        <v>2</v>
      </c>
      <c r="I20" s="10">
        <v>1</v>
      </c>
      <c r="J20" s="10">
        <v>2</v>
      </c>
      <c r="K20" s="4"/>
      <c r="L20" s="4"/>
      <c r="M20" s="4"/>
      <c r="N20" s="4"/>
      <c r="O20" s="4"/>
      <c r="P20" s="4"/>
      <c r="Q20" s="4">
        <f>SUM(D20:P20)</f>
        <v>8</v>
      </c>
    </row>
    <row r="21" spans="1:19" ht="15.75" thickBot="1" x14ac:dyDescent="0.3"/>
    <row r="22" spans="1:19" ht="20.25" thickBot="1" x14ac:dyDescent="0.35">
      <c r="N22" s="11"/>
      <c r="O22" s="7"/>
      <c r="Q22" s="6">
        <f>SUM(Q18:Q21)</f>
        <v>77</v>
      </c>
    </row>
    <row r="23" spans="1:19" ht="13.5" customHeight="1" x14ac:dyDescent="0.3">
      <c r="N23" s="11"/>
      <c r="O23" s="7"/>
      <c r="S23" s="41"/>
    </row>
    <row r="24" spans="1:19" ht="13.5" customHeight="1" x14ac:dyDescent="0.3">
      <c r="H24" s="11"/>
      <c r="I24" s="7"/>
    </row>
    <row r="25" spans="1:19" ht="15.75" x14ac:dyDescent="0.25">
      <c r="A25" s="8" t="s">
        <v>1</v>
      </c>
      <c r="B25" s="8" t="s">
        <v>2</v>
      </c>
      <c r="C25" s="8" t="s">
        <v>32</v>
      </c>
      <c r="D25" s="40">
        <v>48</v>
      </c>
      <c r="E25" s="40">
        <v>50</v>
      </c>
      <c r="F25" s="40">
        <v>52</v>
      </c>
      <c r="G25" s="40">
        <v>54</v>
      </c>
      <c r="H25" s="40">
        <v>56</v>
      </c>
      <c r="I25" s="40">
        <v>58</v>
      </c>
      <c r="J25" s="40">
        <v>60</v>
      </c>
      <c r="K25" s="9" t="s">
        <v>4</v>
      </c>
    </row>
    <row r="26" spans="1:19" ht="17.25" x14ac:dyDescent="0.3">
      <c r="A26" s="4">
        <v>1</v>
      </c>
      <c r="B26" s="91" t="s">
        <v>40</v>
      </c>
      <c r="C26" s="5" t="s">
        <v>39</v>
      </c>
      <c r="D26" s="4">
        <v>0</v>
      </c>
      <c r="E26" s="4">
        <v>0</v>
      </c>
      <c r="F26" s="10">
        <v>16</v>
      </c>
      <c r="G26" s="10">
        <v>11</v>
      </c>
      <c r="H26" s="10">
        <v>7</v>
      </c>
      <c r="I26" s="10">
        <v>7</v>
      </c>
      <c r="J26" s="10">
        <v>4</v>
      </c>
      <c r="K26" s="4">
        <f>SUM(D26:J26)</f>
        <v>45</v>
      </c>
    </row>
    <row r="27" spans="1:19" ht="17.25" x14ac:dyDescent="0.3">
      <c r="A27" s="4">
        <v>2</v>
      </c>
      <c r="B27" s="92"/>
      <c r="C27" s="5" t="s">
        <v>35</v>
      </c>
      <c r="D27" s="4">
        <v>0</v>
      </c>
      <c r="E27" s="10">
        <v>10</v>
      </c>
      <c r="F27" s="10">
        <v>20</v>
      </c>
      <c r="G27" s="10">
        <v>16</v>
      </c>
      <c r="H27" s="10">
        <v>7</v>
      </c>
      <c r="I27" s="10">
        <v>7</v>
      </c>
      <c r="J27" s="4">
        <v>0</v>
      </c>
      <c r="K27" s="4">
        <f>SUM(D27:J27)</f>
        <v>60</v>
      </c>
    </row>
    <row r="28" spans="1:19" ht="17.25" x14ac:dyDescent="0.3">
      <c r="A28" s="4">
        <v>3</v>
      </c>
      <c r="B28" s="93"/>
      <c r="C28" s="5" t="s">
        <v>37</v>
      </c>
      <c r="D28" s="10">
        <v>7</v>
      </c>
      <c r="E28" s="10">
        <v>16</v>
      </c>
      <c r="F28" s="10">
        <v>18</v>
      </c>
      <c r="G28" s="10">
        <v>7</v>
      </c>
      <c r="H28" s="10">
        <v>7</v>
      </c>
      <c r="I28" s="4">
        <v>0</v>
      </c>
      <c r="J28" s="4">
        <v>0</v>
      </c>
      <c r="K28" s="4">
        <f>SUM(D28:J28)</f>
        <v>55</v>
      </c>
    </row>
    <row r="29" spans="1:19" ht="18" thickBot="1" x14ac:dyDescent="0.35">
      <c r="F29" s="7"/>
    </row>
    <row r="30" spans="1:19" ht="20.25" thickBot="1" x14ac:dyDescent="0.35">
      <c r="H30" s="11"/>
      <c r="I30" s="7"/>
      <c r="K30" s="6">
        <f>SUM(K26:K29)</f>
        <v>160</v>
      </c>
    </row>
    <row r="31" spans="1:19" ht="19.5" x14ac:dyDescent="0.3">
      <c r="H31" s="11"/>
      <c r="I31" s="7"/>
    </row>
    <row r="32" spans="1:19" ht="19.5" x14ac:dyDescent="0.3">
      <c r="H32" s="11"/>
      <c r="I32" s="7"/>
    </row>
    <row r="33" spans="7:10" ht="13.5" customHeight="1" x14ac:dyDescent="0.3">
      <c r="H33" s="11"/>
      <c r="I33" s="7"/>
    </row>
    <row r="34" spans="7:10" ht="15.75" thickBot="1" x14ac:dyDescent="0.3"/>
    <row r="35" spans="7:10" ht="29.25" customHeight="1" thickBot="1" x14ac:dyDescent="0.3">
      <c r="G35" s="83" t="s">
        <v>8</v>
      </c>
      <c r="H35" s="84"/>
      <c r="I35" s="84"/>
      <c r="J35" s="42">
        <f>J6+N14+Q22+K30</f>
        <v>347</v>
      </c>
    </row>
  </sheetData>
  <mergeCells count="6">
    <mergeCell ref="G35:I35"/>
    <mergeCell ref="A1:N1"/>
    <mergeCell ref="B3:B4"/>
    <mergeCell ref="B10:B12"/>
    <mergeCell ref="B18:B20"/>
    <mergeCell ref="B26:B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"/>
  <sheetViews>
    <sheetView topLeftCell="A97" workbookViewId="0">
      <selection activeCell="J113" sqref="J113"/>
    </sheetView>
  </sheetViews>
  <sheetFormatPr defaultColWidth="9" defaultRowHeight="15" x14ac:dyDescent="0.25"/>
  <cols>
    <col min="1" max="1" width="13.140625" customWidth="1"/>
    <col min="2" max="2" width="47.85546875" customWidth="1"/>
    <col min="3" max="3" width="12.85546875" customWidth="1"/>
    <col min="4" max="5" width="12.140625" customWidth="1"/>
    <col min="6" max="7" width="10.140625" customWidth="1"/>
    <col min="8" max="8" width="13.5703125" customWidth="1"/>
    <col min="9" max="9" width="12.42578125" customWidth="1"/>
    <col min="10" max="10" width="12.140625" customWidth="1"/>
    <col min="11" max="11" width="8.42578125" bestFit="1" customWidth="1"/>
    <col min="12" max="12" width="11.28515625" customWidth="1"/>
  </cols>
  <sheetData>
    <row r="1" spans="1:14" ht="28.5" customHeight="1" thickBot="1" x14ac:dyDescent="0.3">
      <c r="A1" s="94" t="s">
        <v>41</v>
      </c>
      <c r="B1" s="99"/>
      <c r="C1" s="95"/>
      <c r="D1" s="95"/>
      <c r="E1" s="95"/>
      <c r="F1" s="95"/>
      <c r="G1" s="95"/>
      <c r="H1" s="95"/>
      <c r="I1" s="95"/>
      <c r="J1" s="96"/>
      <c r="K1" s="43" t="s">
        <v>42</v>
      </c>
      <c r="L1" s="44"/>
      <c r="M1" s="45"/>
      <c r="N1" s="45"/>
    </row>
    <row r="2" spans="1:14" ht="15.75" customHeight="1" x14ac:dyDescent="0.25">
      <c r="A2" s="100" t="s">
        <v>43</v>
      </c>
      <c r="B2" s="40" t="s">
        <v>11</v>
      </c>
      <c r="C2" s="46" t="s">
        <v>12</v>
      </c>
      <c r="D2" s="46" t="s">
        <v>13</v>
      </c>
      <c r="E2" s="46" t="s">
        <v>14</v>
      </c>
      <c r="F2" s="46" t="s">
        <v>15</v>
      </c>
      <c r="G2" s="46" t="s">
        <v>16</v>
      </c>
      <c r="H2" s="46" t="s">
        <v>44</v>
      </c>
      <c r="I2" s="46" t="s">
        <v>17</v>
      </c>
      <c r="J2" s="47" t="s">
        <v>18</v>
      </c>
    </row>
    <row r="3" spans="1:14" ht="15" customHeight="1" x14ac:dyDescent="0.25">
      <c r="A3" s="100"/>
      <c r="B3" s="48" t="s">
        <v>45</v>
      </c>
      <c r="C3" s="49">
        <v>81</v>
      </c>
      <c r="D3" s="49">
        <v>81</v>
      </c>
      <c r="E3" s="50">
        <v>48</v>
      </c>
      <c r="F3" s="50">
        <v>0</v>
      </c>
      <c r="G3" s="50">
        <v>0</v>
      </c>
      <c r="H3" s="50">
        <v>0</v>
      </c>
      <c r="I3" s="50">
        <v>0</v>
      </c>
      <c r="J3" s="50">
        <v>0</v>
      </c>
    </row>
    <row r="4" spans="1:14" s="20" customFormat="1" ht="16.5" customHeight="1" x14ac:dyDescent="0.25">
      <c r="A4" s="100"/>
      <c r="B4" s="48" t="s">
        <v>46</v>
      </c>
      <c r="C4" s="50">
        <v>4</v>
      </c>
      <c r="D4" s="50">
        <v>4</v>
      </c>
      <c r="E4" s="50">
        <v>3</v>
      </c>
      <c r="F4" s="50">
        <v>77</v>
      </c>
      <c r="G4" s="50">
        <v>0</v>
      </c>
      <c r="H4" s="50">
        <v>0</v>
      </c>
      <c r="I4" s="50">
        <v>0</v>
      </c>
      <c r="J4" s="50">
        <v>0</v>
      </c>
    </row>
    <row r="5" spans="1:14" s="20" customFormat="1" ht="16.5" customHeight="1" x14ac:dyDescent="0.25">
      <c r="A5" s="100"/>
      <c r="B5" s="18" t="s">
        <v>47</v>
      </c>
      <c r="C5" s="50">
        <v>0</v>
      </c>
      <c r="D5" s="50">
        <v>0</v>
      </c>
      <c r="E5" s="50">
        <v>0</v>
      </c>
      <c r="F5" s="50">
        <v>4</v>
      </c>
      <c r="G5" s="50">
        <v>0</v>
      </c>
      <c r="H5" s="50">
        <v>0</v>
      </c>
      <c r="I5" s="50">
        <v>0</v>
      </c>
      <c r="J5" s="50">
        <v>0</v>
      </c>
    </row>
    <row r="6" spans="1:14" s="20" customFormat="1" ht="16.5" customHeight="1" x14ac:dyDescent="0.25">
      <c r="A6" s="100"/>
      <c r="B6" s="18" t="s">
        <v>48</v>
      </c>
      <c r="C6" s="50">
        <v>15</v>
      </c>
      <c r="D6" s="50">
        <v>15</v>
      </c>
      <c r="E6" s="50">
        <v>13</v>
      </c>
      <c r="F6" s="50">
        <v>14</v>
      </c>
      <c r="G6" s="50">
        <v>13</v>
      </c>
      <c r="H6" s="50">
        <v>0</v>
      </c>
      <c r="I6" s="50">
        <v>0</v>
      </c>
      <c r="J6" s="50">
        <v>0</v>
      </c>
    </row>
    <row r="7" spans="1:14" s="20" customFormat="1" ht="16.5" customHeight="1" x14ac:dyDescent="0.25">
      <c r="A7" s="100"/>
      <c r="B7" s="18" t="s">
        <v>49</v>
      </c>
      <c r="C7" s="50">
        <v>0</v>
      </c>
      <c r="D7" s="50">
        <v>0</v>
      </c>
      <c r="E7" s="50">
        <v>0</v>
      </c>
      <c r="F7" s="50">
        <v>0</v>
      </c>
      <c r="G7" s="50">
        <v>32</v>
      </c>
      <c r="H7" s="50">
        <v>0</v>
      </c>
      <c r="I7" s="50">
        <v>0</v>
      </c>
      <c r="J7" s="50">
        <v>0</v>
      </c>
    </row>
    <row r="8" spans="1:14" s="20" customFormat="1" ht="16.5" customHeight="1" x14ac:dyDescent="0.25">
      <c r="A8" s="100"/>
      <c r="B8" s="18" t="s">
        <v>50</v>
      </c>
      <c r="C8" s="50">
        <v>0</v>
      </c>
      <c r="D8" s="50">
        <v>0</v>
      </c>
      <c r="E8" s="50">
        <v>0</v>
      </c>
      <c r="F8" s="50">
        <v>5</v>
      </c>
      <c r="G8" s="50">
        <v>30</v>
      </c>
      <c r="H8" s="50">
        <v>0</v>
      </c>
      <c r="I8" s="50">
        <v>0</v>
      </c>
      <c r="J8" s="50">
        <v>0</v>
      </c>
    </row>
    <row r="9" spans="1:14" x14ac:dyDescent="0.25">
      <c r="A9" s="51"/>
      <c r="B9" s="26"/>
      <c r="C9" s="27"/>
      <c r="D9" s="27"/>
      <c r="E9" s="27"/>
      <c r="F9" s="52"/>
      <c r="G9" s="52"/>
      <c r="H9" s="53"/>
      <c r="I9" s="28"/>
      <c r="J9" s="28"/>
    </row>
    <row r="10" spans="1:14" s="31" customFormat="1" ht="15.75" x14ac:dyDescent="0.25">
      <c r="B10" s="29" t="s">
        <v>27</v>
      </c>
      <c r="C10" s="54">
        <f>SUM(C3:C8)</f>
        <v>100</v>
      </c>
      <c r="D10" s="54">
        <f t="shared" ref="D10:J10" si="0">SUM(D3:D8)</f>
        <v>100</v>
      </c>
      <c r="E10" s="54">
        <f t="shared" si="0"/>
        <v>64</v>
      </c>
      <c r="F10" s="54">
        <f t="shared" si="0"/>
        <v>100</v>
      </c>
      <c r="G10" s="54">
        <f t="shared" si="0"/>
        <v>75</v>
      </c>
      <c r="H10" s="54">
        <f t="shared" si="0"/>
        <v>0</v>
      </c>
      <c r="I10" s="54">
        <f t="shared" si="0"/>
        <v>0</v>
      </c>
      <c r="J10" s="54">
        <f t="shared" si="0"/>
        <v>0</v>
      </c>
    </row>
    <row r="11" spans="1:14" x14ac:dyDescent="0.25">
      <c r="B11" s="32" t="s">
        <v>28</v>
      </c>
      <c r="C11" s="55">
        <v>70</v>
      </c>
      <c r="D11" s="55">
        <v>30</v>
      </c>
      <c r="E11" s="55">
        <v>40</v>
      </c>
      <c r="F11" s="55">
        <v>300</v>
      </c>
      <c r="G11" s="55">
        <v>100</v>
      </c>
      <c r="H11" s="55">
        <v>75</v>
      </c>
      <c r="I11" s="55">
        <v>400</v>
      </c>
      <c r="J11" s="55">
        <v>600</v>
      </c>
    </row>
    <row r="12" spans="1:14" x14ac:dyDescent="0.25">
      <c r="B12" s="32"/>
      <c r="C12" s="55"/>
      <c r="D12" s="55"/>
      <c r="E12" s="55"/>
      <c r="F12" s="55"/>
      <c r="G12" s="55"/>
      <c r="H12" s="55"/>
      <c r="I12" s="55"/>
      <c r="J12" s="55"/>
    </row>
    <row r="13" spans="1:14" ht="15.75" thickBot="1" x14ac:dyDescent="0.3">
      <c r="B13" s="32"/>
      <c r="C13" s="33"/>
      <c r="D13" s="33"/>
      <c r="E13" s="33"/>
      <c r="F13" s="33"/>
      <c r="G13" s="33"/>
      <c r="H13" s="33"/>
      <c r="I13" s="33"/>
      <c r="J13" s="33"/>
    </row>
    <row r="14" spans="1:14" ht="19.5" thickBot="1" x14ac:dyDescent="0.35">
      <c r="B14" s="32" t="s">
        <v>29</v>
      </c>
      <c r="C14" s="34">
        <f>C10*C11</f>
        <v>7000</v>
      </c>
      <c r="D14" s="34">
        <f>D10*D11</f>
        <v>3000</v>
      </c>
      <c r="E14" s="34">
        <f>E10*E11</f>
        <v>2560</v>
      </c>
      <c r="F14" s="34">
        <f>F10*F11</f>
        <v>30000</v>
      </c>
      <c r="G14" s="34">
        <f t="shared" ref="G14:H14" si="1">G10*G11</f>
        <v>7500</v>
      </c>
      <c r="H14" s="34">
        <f t="shared" si="1"/>
        <v>0</v>
      </c>
      <c r="I14" s="34">
        <f>I10*I11</f>
        <v>0</v>
      </c>
      <c r="J14" s="34">
        <f>J10*J11</f>
        <v>0</v>
      </c>
      <c r="K14" s="35">
        <f>SUM(C14:J14)</f>
        <v>50060</v>
      </c>
    </row>
    <row r="18" spans="1:14" ht="21" x14ac:dyDescent="0.35">
      <c r="B18" s="36" t="s">
        <v>30</v>
      </c>
      <c r="C18" s="37"/>
    </row>
    <row r="19" spans="1:14" ht="18.75" x14ac:dyDescent="0.3">
      <c r="C19" s="38" t="s">
        <v>12</v>
      </c>
      <c r="D19" s="39">
        <f>C10</f>
        <v>100</v>
      </c>
      <c r="G19" s="56"/>
    </row>
    <row r="20" spans="1:14" ht="18.75" x14ac:dyDescent="0.3">
      <c r="C20" s="38" t="s">
        <v>13</v>
      </c>
      <c r="D20" s="39">
        <f>D10</f>
        <v>100</v>
      </c>
    </row>
    <row r="21" spans="1:14" ht="18.75" x14ac:dyDescent="0.3">
      <c r="C21" s="38" t="s">
        <v>14</v>
      </c>
      <c r="D21" s="39">
        <f>E10</f>
        <v>64</v>
      </c>
    </row>
    <row r="22" spans="1:14" ht="18.75" x14ac:dyDescent="0.3">
      <c r="C22" s="38" t="s">
        <v>17</v>
      </c>
      <c r="D22" s="39">
        <f>I10</f>
        <v>0</v>
      </c>
    </row>
    <row r="23" spans="1:14" ht="18.75" x14ac:dyDescent="0.3">
      <c r="C23" s="38" t="s">
        <v>15</v>
      </c>
      <c r="D23" s="39">
        <f>F10</f>
        <v>100</v>
      </c>
    </row>
    <row r="24" spans="1:14" ht="18.75" x14ac:dyDescent="0.3">
      <c r="C24" s="38" t="s">
        <v>16</v>
      </c>
      <c r="D24" s="39">
        <f>G10</f>
        <v>75</v>
      </c>
    </row>
    <row r="25" spans="1:14" ht="21" x14ac:dyDescent="0.35">
      <c r="C25" s="57" t="s">
        <v>51</v>
      </c>
      <c r="D25" s="58">
        <f>H10</f>
        <v>0</v>
      </c>
    </row>
    <row r="26" spans="1:14" ht="18.75" x14ac:dyDescent="0.3">
      <c r="C26" s="38" t="s">
        <v>18</v>
      </c>
      <c r="D26" s="39">
        <f>J10</f>
        <v>0</v>
      </c>
    </row>
    <row r="29" spans="1:14" ht="15.75" thickBot="1" x14ac:dyDescent="0.3"/>
    <row r="30" spans="1:14" ht="28.5" customHeight="1" x14ac:dyDescent="0.25">
      <c r="A30" s="94" t="s">
        <v>52</v>
      </c>
      <c r="B30" s="99"/>
      <c r="C30" s="99"/>
      <c r="D30" s="99"/>
      <c r="E30" s="99"/>
      <c r="F30" s="99"/>
      <c r="G30" s="99"/>
      <c r="H30" s="99"/>
      <c r="I30" s="99"/>
      <c r="J30" s="101"/>
      <c r="K30" s="97"/>
      <c r="L30" s="98"/>
      <c r="M30" s="45"/>
      <c r="N30" s="45"/>
    </row>
    <row r="31" spans="1:14" ht="15.75" customHeight="1" x14ac:dyDescent="0.25">
      <c r="A31" s="102" t="s">
        <v>43</v>
      </c>
      <c r="B31" s="40" t="s">
        <v>11</v>
      </c>
      <c r="C31" s="40" t="s">
        <v>12</v>
      </c>
      <c r="D31" s="40" t="s">
        <v>13</v>
      </c>
      <c r="E31" s="40" t="s">
        <v>14</v>
      </c>
      <c r="F31" s="40" t="s">
        <v>15</v>
      </c>
      <c r="G31" s="40" t="s">
        <v>16</v>
      </c>
      <c r="H31" s="40" t="s">
        <v>44</v>
      </c>
      <c r="I31" s="40" t="s">
        <v>17</v>
      </c>
      <c r="J31" s="40" t="s">
        <v>18</v>
      </c>
    </row>
    <row r="32" spans="1:14" ht="15" customHeight="1" x14ac:dyDescent="0.25">
      <c r="A32" s="103"/>
      <c r="B32" s="59" t="s">
        <v>53</v>
      </c>
      <c r="C32" s="49">
        <v>46</v>
      </c>
      <c r="D32" s="49">
        <v>46</v>
      </c>
      <c r="E32" s="50">
        <v>17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</row>
    <row r="33" spans="1:11" s="20" customFormat="1" x14ac:dyDescent="0.25">
      <c r="A33" s="103"/>
      <c r="B33" s="18" t="s">
        <v>54</v>
      </c>
      <c r="C33" s="50">
        <v>36</v>
      </c>
      <c r="D33" s="50">
        <v>36</v>
      </c>
      <c r="E33" s="50">
        <v>43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</row>
    <row r="34" spans="1:11" s="20" customFormat="1" x14ac:dyDescent="0.25">
      <c r="A34" s="103"/>
      <c r="B34" s="18" t="s">
        <v>55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2</v>
      </c>
      <c r="I34" s="50">
        <v>0</v>
      </c>
      <c r="J34" s="50">
        <v>2</v>
      </c>
    </row>
    <row r="35" spans="1:11" s="20" customFormat="1" x14ac:dyDescent="0.25">
      <c r="A35" s="103"/>
      <c r="B35" s="48" t="s">
        <v>45</v>
      </c>
      <c r="C35" s="50">
        <v>36</v>
      </c>
      <c r="D35" s="50">
        <v>36</v>
      </c>
      <c r="E35" s="50">
        <v>15</v>
      </c>
      <c r="F35" s="50">
        <v>55</v>
      </c>
      <c r="G35" s="50">
        <v>0</v>
      </c>
      <c r="H35" s="50">
        <v>0</v>
      </c>
      <c r="I35" s="50">
        <v>0</v>
      </c>
      <c r="J35" s="50">
        <v>0</v>
      </c>
    </row>
    <row r="36" spans="1:11" s="20" customFormat="1" x14ac:dyDescent="0.25">
      <c r="A36" s="103"/>
      <c r="B36" s="48" t="s">
        <v>46</v>
      </c>
      <c r="C36" s="50">
        <v>18</v>
      </c>
      <c r="D36" s="50">
        <v>18</v>
      </c>
      <c r="E36" s="50">
        <v>32</v>
      </c>
      <c r="F36" s="50">
        <f>43+6</f>
        <v>49</v>
      </c>
      <c r="G36" s="50">
        <v>0</v>
      </c>
      <c r="H36" s="50">
        <v>0</v>
      </c>
      <c r="I36" s="50">
        <v>0</v>
      </c>
      <c r="J36" s="50">
        <v>0</v>
      </c>
    </row>
    <row r="37" spans="1:11" s="20" customFormat="1" x14ac:dyDescent="0.25">
      <c r="A37" s="103"/>
      <c r="B37" s="18" t="s">
        <v>47</v>
      </c>
      <c r="C37" s="50">
        <v>0</v>
      </c>
      <c r="D37" s="50">
        <v>0</v>
      </c>
      <c r="E37" s="50">
        <v>0</v>
      </c>
      <c r="F37" s="50">
        <v>17</v>
      </c>
      <c r="G37" s="50">
        <v>3</v>
      </c>
      <c r="H37" s="50">
        <v>0</v>
      </c>
      <c r="I37" s="50">
        <v>0</v>
      </c>
      <c r="J37" s="50">
        <v>0</v>
      </c>
    </row>
    <row r="38" spans="1:11" s="20" customFormat="1" x14ac:dyDescent="0.25">
      <c r="A38" s="103"/>
      <c r="B38" s="18" t="s">
        <v>56</v>
      </c>
      <c r="C38" s="50">
        <v>0</v>
      </c>
      <c r="D38" s="50">
        <v>0</v>
      </c>
      <c r="E38" s="50">
        <v>0</v>
      </c>
      <c r="F38" s="50">
        <v>9</v>
      </c>
      <c r="G38" s="50">
        <v>0</v>
      </c>
      <c r="H38" s="50">
        <v>0</v>
      </c>
      <c r="I38" s="50">
        <v>4</v>
      </c>
      <c r="J38" s="50">
        <v>0</v>
      </c>
    </row>
    <row r="39" spans="1:11" s="20" customFormat="1" x14ac:dyDescent="0.25">
      <c r="A39" s="104"/>
      <c r="B39" s="18" t="s">
        <v>57</v>
      </c>
      <c r="C39" s="50">
        <v>0</v>
      </c>
      <c r="D39" s="50">
        <v>0</v>
      </c>
      <c r="E39" s="50">
        <v>0</v>
      </c>
      <c r="F39" s="50">
        <v>0</v>
      </c>
      <c r="G39" s="50">
        <v>1</v>
      </c>
      <c r="H39" s="50">
        <v>0</v>
      </c>
      <c r="I39" s="50">
        <v>0</v>
      </c>
      <c r="J39" s="50">
        <v>0</v>
      </c>
    </row>
    <row r="40" spans="1:11" x14ac:dyDescent="0.25">
      <c r="A40" s="51"/>
      <c r="B40" s="26"/>
      <c r="C40" s="27"/>
      <c r="D40" s="27"/>
      <c r="E40" s="27"/>
      <c r="F40" s="52"/>
      <c r="G40" s="52"/>
      <c r="H40" s="53"/>
      <c r="I40" s="28"/>
      <c r="J40" s="28"/>
    </row>
    <row r="41" spans="1:11" s="31" customFormat="1" ht="15.75" x14ac:dyDescent="0.25">
      <c r="B41" s="29" t="s">
        <v>27</v>
      </c>
      <c r="C41" s="54">
        <f>SUM(C32:C39)</f>
        <v>136</v>
      </c>
      <c r="D41" s="54">
        <f t="shared" ref="D41:I41" si="2">SUM(D32:D39)</f>
        <v>136</v>
      </c>
      <c r="E41" s="54">
        <f t="shared" si="2"/>
        <v>107</v>
      </c>
      <c r="F41" s="54">
        <f t="shared" si="2"/>
        <v>130</v>
      </c>
      <c r="G41" s="54">
        <f t="shared" si="2"/>
        <v>4</v>
      </c>
      <c r="H41" s="54">
        <f t="shared" si="2"/>
        <v>2</v>
      </c>
      <c r="I41" s="54">
        <f t="shared" si="2"/>
        <v>4</v>
      </c>
      <c r="J41" s="54">
        <f>SUM(J32:J39)</f>
        <v>2</v>
      </c>
    </row>
    <row r="42" spans="1:11" x14ac:dyDescent="0.25">
      <c r="B42" s="32" t="s">
        <v>28</v>
      </c>
      <c r="C42" s="55">
        <v>70</v>
      </c>
      <c r="D42" s="55">
        <v>30</v>
      </c>
      <c r="E42" s="55">
        <v>40</v>
      </c>
      <c r="F42" s="55">
        <v>300</v>
      </c>
      <c r="G42" s="55">
        <v>100</v>
      </c>
      <c r="H42" s="55">
        <v>75</v>
      </c>
      <c r="I42" s="55">
        <v>400</v>
      </c>
      <c r="J42" s="55">
        <v>600</v>
      </c>
    </row>
    <row r="43" spans="1:11" x14ac:dyDescent="0.25">
      <c r="B43" s="32"/>
      <c r="C43" s="55"/>
      <c r="D43" s="55"/>
      <c r="E43" s="55"/>
      <c r="F43" s="55"/>
      <c r="G43" s="55"/>
      <c r="H43" s="55"/>
      <c r="I43" s="55"/>
      <c r="J43" s="55"/>
    </row>
    <row r="44" spans="1:11" ht="15.75" thickBot="1" x14ac:dyDescent="0.3">
      <c r="B44" s="32"/>
      <c r="C44" s="33"/>
      <c r="D44" s="33"/>
      <c r="E44" s="33"/>
      <c r="F44" s="33"/>
      <c r="G44" s="33"/>
      <c r="H44" s="33"/>
      <c r="I44" s="33"/>
      <c r="J44" s="33"/>
    </row>
    <row r="45" spans="1:11" ht="19.5" thickBot="1" x14ac:dyDescent="0.35">
      <c r="B45" s="32" t="s">
        <v>29</v>
      </c>
      <c r="C45" s="34">
        <f>C41*C42</f>
        <v>9520</v>
      </c>
      <c r="D45" s="34">
        <f>D41*D42</f>
        <v>4080</v>
      </c>
      <c r="E45" s="34">
        <f>E41*E42</f>
        <v>4280</v>
      </c>
      <c r="F45" s="34">
        <f>F41*F42</f>
        <v>39000</v>
      </c>
      <c r="G45" s="34">
        <f t="shared" ref="G45:H45" si="3">G41*G42</f>
        <v>400</v>
      </c>
      <c r="H45" s="34">
        <f t="shared" si="3"/>
        <v>150</v>
      </c>
      <c r="I45" s="34">
        <f>I41*I42</f>
        <v>1600</v>
      </c>
      <c r="J45" s="34">
        <f>J41*J42</f>
        <v>1200</v>
      </c>
      <c r="K45" s="35">
        <f>SUM(C45:J45)</f>
        <v>60230</v>
      </c>
    </row>
    <row r="46" spans="1:11" x14ac:dyDescent="0.25">
      <c r="B46" t="s">
        <v>58</v>
      </c>
    </row>
    <row r="49" spans="1:14" ht="21" x14ac:dyDescent="0.35">
      <c r="B49" s="36" t="s">
        <v>30</v>
      </c>
      <c r="C49" s="37"/>
    </row>
    <row r="50" spans="1:14" ht="18.75" x14ac:dyDescent="0.3">
      <c r="C50" s="38" t="s">
        <v>12</v>
      </c>
      <c r="D50" s="39">
        <f>C41</f>
        <v>136</v>
      </c>
      <c r="G50" s="56"/>
    </row>
    <row r="51" spans="1:14" ht="18.75" x14ac:dyDescent="0.3">
      <c r="C51" s="38" t="s">
        <v>13</v>
      </c>
      <c r="D51" s="39">
        <f>D41</f>
        <v>136</v>
      </c>
    </row>
    <row r="52" spans="1:14" ht="18.75" x14ac:dyDescent="0.3">
      <c r="C52" s="38" t="s">
        <v>14</v>
      </c>
      <c r="D52" s="39">
        <f>E41</f>
        <v>107</v>
      </c>
    </row>
    <row r="53" spans="1:14" ht="18.75" x14ac:dyDescent="0.3">
      <c r="C53" s="38" t="s">
        <v>17</v>
      </c>
      <c r="D53" s="39">
        <f>I41</f>
        <v>4</v>
      </c>
    </row>
    <row r="54" spans="1:14" ht="18.75" x14ac:dyDescent="0.3">
      <c r="C54" s="38" t="s">
        <v>15</v>
      </c>
      <c r="D54" s="39">
        <f>F41</f>
        <v>130</v>
      </c>
    </row>
    <row r="55" spans="1:14" ht="18.75" x14ac:dyDescent="0.3">
      <c r="C55" s="38" t="s">
        <v>16</v>
      </c>
      <c r="D55" s="39">
        <f>G41</f>
        <v>4</v>
      </c>
    </row>
    <row r="56" spans="1:14" ht="21" x14ac:dyDescent="0.35">
      <c r="C56" s="57" t="s">
        <v>51</v>
      </c>
      <c r="D56" s="58">
        <f>H41</f>
        <v>2</v>
      </c>
    </row>
    <row r="57" spans="1:14" ht="18.75" x14ac:dyDescent="0.3">
      <c r="C57" s="38" t="s">
        <v>18</v>
      </c>
      <c r="D57" s="39">
        <f>J41</f>
        <v>2</v>
      </c>
    </row>
    <row r="60" spans="1:14" ht="15.75" thickBot="1" x14ac:dyDescent="0.3"/>
    <row r="61" spans="1:14" ht="28.5" customHeight="1" thickBot="1" x14ac:dyDescent="0.3">
      <c r="A61" s="94" t="s">
        <v>59</v>
      </c>
      <c r="B61" s="95"/>
      <c r="C61" s="95"/>
      <c r="D61" s="95"/>
      <c r="E61" s="95"/>
      <c r="F61" s="95"/>
      <c r="G61" s="95"/>
      <c r="H61" s="95"/>
      <c r="I61" s="95"/>
      <c r="J61" s="96"/>
      <c r="K61" s="97"/>
      <c r="L61" s="98"/>
      <c r="M61" s="45"/>
      <c r="N61" s="45"/>
    </row>
    <row r="62" spans="1:14" ht="15.75" customHeight="1" x14ac:dyDescent="0.25">
      <c r="A62" s="100" t="s">
        <v>43</v>
      </c>
      <c r="B62" s="46" t="s">
        <v>11</v>
      </c>
      <c r="C62" s="46" t="s">
        <v>12</v>
      </c>
      <c r="D62" s="46" t="s">
        <v>13</v>
      </c>
      <c r="E62" s="46" t="s">
        <v>14</v>
      </c>
      <c r="F62" s="46" t="s">
        <v>15</v>
      </c>
      <c r="G62" s="46" t="s">
        <v>16</v>
      </c>
      <c r="H62" s="46" t="s">
        <v>44</v>
      </c>
      <c r="I62" s="46" t="s">
        <v>17</v>
      </c>
      <c r="J62" s="47" t="s">
        <v>18</v>
      </c>
    </row>
    <row r="63" spans="1:14" ht="15" customHeight="1" x14ac:dyDescent="0.25">
      <c r="A63" s="100"/>
      <c r="B63" s="59" t="s">
        <v>53</v>
      </c>
      <c r="C63" s="49">
        <v>12</v>
      </c>
      <c r="D63" s="49">
        <v>0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</row>
    <row r="64" spans="1:14" s="20" customFormat="1" ht="16.5" customHeight="1" x14ac:dyDescent="0.25">
      <c r="A64" s="100"/>
      <c r="B64" s="60" t="s">
        <v>54</v>
      </c>
      <c r="C64" s="49">
        <v>0</v>
      </c>
      <c r="D64" s="49">
        <v>0</v>
      </c>
      <c r="E64" s="50">
        <v>4</v>
      </c>
      <c r="F64" s="49">
        <v>0</v>
      </c>
      <c r="G64" s="49">
        <v>0</v>
      </c>
      <c r="H64" s="49">
        <v>0</v>
      </c>
      <c r="I64" s="49">
        <v>0</v>
      </c>
      <c r="J64" s="49">
        <v>0</v>
      </c>
    </row>
    <row r="65" spans="1:11" s="20" customFormat="1" x14ac:dyDescent="0.25">
      <c r="A65" s="100"/>
      <c r="B65" s="48" t="s">
        <v>46</v>
      </c>
      <c r="C65" s="50">
        <v>20</v>
      </c>
      <c r="D65" s="50">
        <v>20</v>
      </c>
      <c r="E65" s="50">
        <v>14</v>
      </c>
      <c r="F65" s="50">
        <v>20</v>
      </c>
      <c r="G65" s="49">
        <v>0</v>
      </c>
      <c r="H65" s="49">
        <v>0</v>
      </c>
      <c r="I65" s="49">
        <v>0</v>
      </c>
      <c r="J65" s="49">
        <v>0</v>
      </c>
    </row>
    <row r="66" spans="1:11" s="20" customFormat="1" x14ac:dyDescent="0.25">
      <c r="A66" s="100"/>
      <c r="B66" s="60" t="s">
        <v>56</v>
      </c>
      <c r="C66" s="49">
        <v>0</v>
      </c>
      <c r="D66" s="49">
        <v>0</v>
      </c>
      <c r="E66" s="49">
        <v>0</v>
      </c>
      <c r="F66" s="50">
        <v>11</v>
      </c>
      <c r="G66" s="50">
        <v>10</v>
      </c>
      <c r="H66" s="49">
        <v>0</v>
      </c>
      <c r="I66" s="49">
        <v>0</v>
      </c>
      <c r="J66" s="50">
        <v>1</v>
      </c>
    </row>
    <row r="67" spans="1:11" s="20" customFormat="1" x14ac:dyDescent="0.25">
      <c r="A67" s="100"/>
      <c r="B67" s="18" t="s">
        <v>48</v>
      </c>
      <c r="C67" s="49">
        <v>55</v>
      </c>
      <c r="D67" s="49">
        <v>55</v>
      </c>
      <c r="E67" s="49">
        <v>37</v>
      </c>
      <c r="F67" s="50">
        <v>0</v>
      </c>
      <c r="G67" s="50">
        <v>0</v>
      </c>
      <c r="H67" s="49">
        <v>0</v>
      </c>
      <c r="I67" s="50">
        <v>55</v>
      </c>
      <c r="J67" s="50">
        <v>0</v>
      </c>
    </row>
    <row r="68" spans="1:11" s="20" customFormat="1" x14ac:dyDescent="0.25">
      <c r="A68" s="100"/>
      <c r="B68" s="18" t="s">
        <v>57</v>
      </c>
      <c r="C68" s="49">
        <v>0</v>
      </c>
      <c r="D68" s="49">
        <v>0</v>
      </c>
      <c r="E68" s="49">
        <v>0</v>
      </c>
      <c r="F68" s="49">
        <v>0</v>
      </c>
      <c r="G68" s="50">
        <v>6</v>
      </c>
      <c r="H68" s="49">
        <v>0</v>
      </c>
      <c r="I68" s="50">
        <v>0</v>
      </c>
      <c r="J68" s="50">
        <v>0</v>
      </c>
    </row>
    <row r="69" spans="1:11" x14ac:dyDescent="0.25">
      <c r="A69" s="51"/>
      <c r="B69" s="26"/>
      <c r="C69" s="27"/>
      <c r="D69" s="27"/>
      <c r="E69" s="27"/>
      <c r="F69" s="52"/>
      <c r="G69" s="52"/>
      <c r="H69" s="53"/>
      <c r="I69" s="28"/>
      <c r="J69" s="28"/>
    </row>
    <row r="70" spans="1:11" s="31" customFormat="1" ht="15.75" x14ac:dyDescent="0.25">
      <c r="B70" s="29" t="s">
        <v>27</v>
      </c>
      <c r="C70" s="54">
        <f t="shared" ref="C70:J70" si="4">SUM(C63:C68)</f>
        <v>87</v>
      </c>
      <c r="D70" s="54">
        <f t="shared" si="4"/>
        <v>75</v>
      </c>
      <c r="E70" s="54">
        <f t="shared" si="4"/>
        <v>55</v>
      </c>
      <c r="F70" s="54">
        <f t="shared" si="4"/>
        <v>31</v>
      </c>
      <c r="G70" s="54">
        <f>SUM(G63:G68)</f>
        <v>16</v>
      </c>
      <c r="H70" s="54">
        <f t="shared" si="4"/>
        <v>0</v>
      </c>
      <c r="I70" s="54">
        <f t="shared" si="4"/>
        <v>55</v>
      </c>
      <c r="J70" s="54">
        <f t="shared" si="4"/>
        <v>1</v>
      </c>
    </row>
    <row r="71" spans="1:11" x14ac:dyDescent="0.25">
      <c r="B71" s="32" t="s">
        <v>28</v>
      </c>
      <c r="C71" s="55">
        <v>70</v>
      </c>
      <c r="D71" s="55">
        <v>30</v>
      </c>
      <c r="E71" s="55">
        <v>40</v>
      </c>
      <c r="F71" s="55">
        <v>300</v>
      </c>
      <c r="G71" s="55">
        <v>100</v>
      </c>
      <c r="H71" s="55">
        <v>75</v>
      </c>
      <c r="I71" s="55">
        <v>400</v>
      </c>
      <c r="J71" s="55">
        <v>600</v>
      </c>
    </row>
    <row r="72" spans="1:11" x14ac:dyDescent="0.25">
      <c r="B72" s="32"/>
      <c r="C72" s="55"/>
      <c r="D72" s="55"/>
      <c r="E72" s="55"/>
      <c r="F72" s="55"/>
      <c r="G72" s="55"/>
      <c r="H72" s="55"/>
      <c r="I72" s="55"/>
      <c r="J72" s="55"/>
    </row>
    <row r="73" spans="1:11" ht="15.75" thickBot="1" x14ac:dyDescent="0.3">
      <c r="B73" s="32"/>
      <c r="C73" s="33"/>
      <c r="D73" s="33"/>
      <c r="E73" s="33"/>
      <c r="F73" s="33"/>
      <c r="G73" s="33"/>
      <c r="H73" s="33"/>
      <c r="I73" s="33"/>
      <c r="J73" s="33"/>
    </row>
    <row r="74" spans="1:11" ht="19.5" thickBot="1" x14ac:dyDescent="0.35">
      <c r="B74" s="32" t="s">
        <v>29</v>
      </c>
      <c r="C74" s="34">
        <f>C70*C71</f>
        <v>6090</v>
      </c>
      <c r="D74" s="34">
        <f>D70*D71</f>
        <v>2250</v>
      </c>
      <c r="E74" s="34">
        <f>E70*E71</f>
        <v>2200</v>
      </c>
      <c r="F74" s="34">
        <f>F70*F71</f>
        <v>9300</v>
      </c>
      <c r="G74" s="34">
        <f t="shared" ref="G74:H74" si="5">G70*G71</f>
        <v>1600</v>
      </c>
      <c r="H74" s="34">
        <f t="shared" si="5"/>
        <v>0</v>
      </c>
      <c r="I74" s="34">
        <f>I70*I71</f>
        <v>22000</v>
      </c>
      <c r="J74" s="34">
        <f>J70*J71</f>
        <v>600</v>
      </c>
      <c r="K74" s="35">
        <f>SUM(C74:J74)</f>
        <v>44040</v>
      </c>
    </row>
    <row r="78" spans="1:11" ht="21" x14ac:dyDescent="0.35">
      <c r="B78" s="36" t="s">
        <v>30</v>
      </c>
      <c r="C78" s="37"/>
    </row>
    <row r="79" spans="1:11" ht="18.75" x14ac:dyDescent="0.3">
      <c r="C79" s="38" t="s">
        <v>12</v>
      </c>
      <c r="D79" s="39">
        <f>C70</f>
        <v>87</v>
      </c>
      <c r="G79" s="56"/>
    </row>
    <row r="80" spans="1:11" ht="18.75" x14ac:dyDescent="0.3">
      <c r="C80" s="38" t="s">
        <v>13</v>
      </c>
      <c r="D80" s="39">
        <f>D70</f>
        <v>75</v>
      </c>
    </row>
    <row r="81" spans="1:10" ht="18.75" x14ac:dyDescent="0.3">
      <c r="C81" s="38" t="s">
        <v>14</v>
      </c>
      <c r="D81" s="39">
        <f>E70</f>
        <v>55</v>
      </c>
    </row>
    <row r="82" spans="1:10" ht="18.75" x14ac:dyDescent="0.3">
      <c r="C82" s="38" t="s">
        <v>17</v>
      </c>
      <c r="D82" s="39">
        <f>I70</f>
        <v>55</v>
      </c>
    </row>
    <row r="83" spans="1:10" ht="18.75" x14ac:dyDescent="0.3">
      <c r="C83" s="38" t="s">
        <v>15</v>
      </c>
      <c r="D83" s="39">
        <f>F70</f>
        <v>31</v>
      </c>
    </row>
    <row r="84" spans="1:10" ht="18.75" x14ac:dyDescent="0.3">
      <c r="C84" s="38" t="s">
        <v>16</v>
      </c>
      <c r="D84" s="39">
        <f>G70</f>
        <v>16</v>
      </c>
    </row>
    <row r="85" spans="1:10" ht="21" x14ac:dyDescent="0.35">
      <c r="C85" s="57" t="s">
        <v>51</v>
      </c>
      <c r="D85" s="58">
        <f>H70</f>
        <v>0</v>
      </c>
    </row>
    <row r="86" spans="1:10" ht="18.75" x14ac:dyDescent="0.3">
      <c r="C86" s="38" t="s">
        <v>18</v>
      </c>
      <c r="D86" s="39">
        <f>J70</f>
        <v>1</v>
      </c>
    </row>
    <row r="91" spans="1:10" ht="15.75" thickBot="1" x14ac:dyDescent="0.3"/>
    <row r="92" spans="1:10" ht="28.5" customHeight="1" thickBot="1" x14ac:dyDescent="0.3">
      <c r="A92" s="105" t="s">
        <v>60</v>
      </c>
      <c r="B92" s="95"/>
      <c r="C92" s="95"/>
      <c r="D92" s="95"/>
      <c r="E92" s="95"/>
      <c r="F92" s="95"/>
      <c r="G92" s="97"/>
      <c r="H92" s="98"/>
      <c r="I92" s="45"/>
      <c r="J92" s="45"/>
    </row>
    <row r="93" spans="1:10" ht="15.75" customHeight="1" x14ac:dyDescent="0.25">
      <c r="A93" s="106" t="s">
        <v>43</v>
      </c>
      <c r="B93" s="46" t="s">
        <v>11</v>
      </c>
      <c r="C93" s="46" t="s">
        <v>12</v>
      </c>
      <c r="D93" s="46" t="s">
        <v>13</v>
      </c>
      <c r="E93" s="46" t="s">
        <v>14</v>
      </c>
      <c r="F93" s="46" t="s">
        <v>17</v>
      </c>
    </row>
    <row r="94" spans="1:10" ht="15" customHeight="1" x14ac:dyDescent="0.25">
      <c r="A94" s="107"/>
      <c r="B94" s="48" t="s">
        <v>45</v>
      </c>
      <c r="C94" s="49">
        <v>15</v>
      </c>
      <c r="D94" s="49">
        <v>15</v>
      </c>
      <c r="E94" s="50">
        <v>0</v>
      </c>
      <c r="F94" s="50">
        <v>0</v>
      </c>
    </row>
    <row r="95" spans="1:10" s="20" customFormat="1" ht="16.5" customHeight="1" x14ac:dyDescent="0.25">
      <c r="A95" s="107"/>
      <c r="B95" s="60" t="s">
        <v>46</v>
      </c>
      <c r="C95" s="50">
        <v>0</v>
      </c>
      <c r="D95" s="50">
        <v>0</v>
      </c>
      <c r="E95" s="50">
        <v>4</v>
      </c>
      <c r="F95" s="50">
        <v>6</v>
      </c>
    </row>
    <row r="96" spans="1:10" s="20" customFormat="1" ht="16.5" customHeight="1" x14ac:dyDescent="0.25">
      <c r="A96" s="107"/>
      <c r="B96" s="48" t="s">
        <v>48</v>
      </c>
      <c r="C96" s="50">
        <v>0</v>
      </c>
      <c r="D96" s="50">
        <v>0</v>
      </c>
      <c r="E96" s="50">
        <v>0</v>
      </c>
      <c r="F96" s="50">
        <v>9</v>
      </c>
    </row>
    <row r="97" spans="1:7" x14ac:dyDescent="0.25">
      <c r="A97" s="51"/>
      <c r="B97" s="26"/>
      <c r="C97" s="27"/>
      <c r="D97" s="27"/>
      <c r="E97" s="27"/>
      <c r="F97" s="28"/>
    </row>
    <row r="98" spans="1:7" s="31" customFormat="1" ht="15.75" x14ac:dyDescent="0.25">
      <c r="B98" s="29" t="s">
        <v>27</v>
      </c>
      <c r="C98" s="54">
        <f t="shared" ref="C98:F98" si="6">SUM(C94:C96)</f>
        <v>15</v>
      </c>
      <c r="D98" s="54">
        <f t="shared" si="6"/>
        <v>15</v>
      </c>
      <c r="E98" s="54">
        <f t="shared" si="6"/>
        <v>4</v>
      </c>
      <c r="F98" s="54">
        <f t="shared" si="6"/>
        <v>15</v>
      </c>
    </row>
    <row r="99" spans="1:7" x14ac:dyDescent="0.25">
      <c r="B99" s="32" t="s">
        <v>28</v>
      </c>
      <c r="C99" s="55">
        <v>80</v>
      </c>
      <c r="D99" s="55">
        <v>30</v>
      </c>
      <c r="E99" s="55">
        <v>40</v>
      </c>
      <c r="F99" s="55">
        <v>450</v>
      </c>
    </row>
    <row r="100" spans="1:7" x14ac:dyDescent="0.25">
      <c r="B100" s="32"/>
      <c r="C100" s="55"/>
      <c r="D100" s="55"/>
      <c r="E100" s="55"/>
      <c r="F100" s="55"/>
    </row>
    <row r="101" spans="1:7" ht="15.75" thickBot="1" x14ac:dyDescent="0.3">
      <c r="B101" s="32"/>
      <c r="C101" s="33"/>
      <c r="D101" s="33"/>
      <c r="E101" s="33"/>
      <c r="F101" s="33"/>
    </row>
    <row r="102" spans="1:7" ht="19.5" thickBot="1" x14ac:dyDescent="0.35">
      <c r="B102" s="32" t="s">
        <v>29</v>
      </c>
      <c r="C102" s="34">
        <f>C98*C99</f>
        <v>1200</v>
      </c>
      <c r="D102" s="34">
        <f>D98*D99</f>
        <v>450</v>
      </c>
      <c r="E102" s="34">
        <f>E98*E99</f>
        <v>160</v>
      </c>
      <c r="F102" s="34">
        <f>F98*F99</f>
        <v>6750</v>
      </c>
      <c r="G102" s="35">
        <f>SUM(C102:F102)</f>
        <v>8560</v>
      </c>
    </row>
    <row r="106" spans="1:7" ht="21" x14ac:dyDescent="0.35">
      <c r="B106" s="36" t="s">
        <v>30</v>
      </c>
      <c r="C106" s="37"/>
    </row>
    <row r="107" spans="1:7" ht="18.75" x14ac:dyDescent="0.3">
      <c r="C107" s="38" t="s">
        <v>12</v>
      </c>
      <c r="D107" s="39">
        <f>C98</f>
        <v>15</v>
      </c>
    </row>
    <row r="108" spans="1:7" ht="18.75" x14ac:dyDescent="0.3">
      <c r="C108" s="38" t="s">
        <v>13</v>
      </c>
      <c r="D108" s="39">
        <f>D98</f>
        <v>15</v>
      </c>
    </row>
    <row r="109" spans="1:7" ht="18.75" x14ac:dyDescent="0.3">
      <c r="C109" s="38" t="s">
        <v>14</v>
      </c>
      <c r="D109" s="39">
        <f>E98</f>
        <v>4</v>
      </c>
    </row>
    <row r="110" spans="1:7" ht="18.75" x14ac:dyDescent="0.3">
      <c r="C110" s="38" t="s">
        <v>17</v>
      </c>
      <c r="D110" s="39">
        <f>F98</f>
        <v>15</v>
      </c>
    </row>
    <row r="113" spans="1:10" ht="15.75" thickBot="1" x14ac:dyDescent="0.3"/>
    <row r="114" spans="1:10" ht="28.5" customHeight="1" thickBot="1" x14ac:dyDescent="0.3">
      <c r="A114" s="94" t="s">
        <v>61</v>
      </c>
      <c r="B114" s="95"/>
      <c r="C114" s="95"/>
      <c r="D114" s="95"/>
      <c r="E114" s="95"/>
      <c r="F114" s="95"/>
      <c r="G114" s="97"/>
      <c r="H114" s="98"/>
      <c r="I114" s="45"/>
      <c r="J114" s="45"/>
    </row>
    <row r="115" spans="1:10" ht="15.75" customHeight="1" x14ac:dyDescent="0.25">
      <c r="A115" s="100" t="s">
        <v>43</v>
      </c>
      <c r="B115" s="46" t="s">
        <v>11</v>
      </c>
      <c r="C115" s="46" t="s">
        <v>12</v>
      </c>
      <c r="D115" s="46" t="s">
        <v>13</v>
      </c>
      <c r="E115" s="46" t="s">
        <v>14</v>
      </c>
      <c r="F115" s="46" t="s">
        <v>17</v>
      </c>
    </row>
    <row r="116" spans="1:10" ht="15" customHeight="1" x14ac:dyDescent="0.25">
      <c r="A116" s="100"/>
      <c r="B116" s="48" t="s">
        <v>45</v>
      </c>
      <c r="C116" s="49">
        <v>15</v>
      </c>
      <c r="D116" s="49">
        <v>15</v>
      </c>
      <c r="E116" s="50">
        <v>0</v>
      </c>
      <c r="F116" s="50">
        <v>0</v>
      </c>
    </row>
    <row r="117" spans="1:10" s="20" customFormat="1" ht="16.5" customHeight="1" x14ac:dyDescent="0.25">
      <c r="A117" s="100"/>
      <c r="B117" s="18" t="s">
        <v>46</v>
      </c>
      <c r="C117" s="50">
        <v>0</v>
      </c>
      <c r="D117" s="50">
        <v>0</v>
      </c>
      <c r="E117" s="50">
        <v>11</v>
      </c>
      <c r="F117" s="50">
        <v>15</v>
      </c>
    </row>
    <row r="118" spans="1:10" x14ac:dyDescent="0.25">
      <c r="A118" s="51"/>
      <c r="B118" s="26"/>
      <c r="C118" s="27"/>
      <c r="D118" s="27"/>
      <c r="E118" s="27"/>
      <c r="F118" s="28"/>
    </row>
    <row r="119" spans="1:10" s="31" customFormat="1" ht="15.75" x14ac:dyDescent="0.25">
      <c r="B119" s="29" t="s">
        <v>27</v>
      </c>
      <c r="C119" s="54">
        <f t="shared" ref="C119:F119" si="7">SUM(C116:C117)</f>
        <v>15</v>
      </c>
      <c r="D119" s="54">
        <f t="shared" si="7"/>
        <v>15</v>
      </c>
      <c r="E119" s="54">
        <f t="shared" si="7"/>
        <v>11</v>
      </c>
      <c r="F119" s="54">
        <f t="shared" si="7"/>
        <v>15</v>
      </c>
    </row>
    <row r="120" spans="1:10" x14ac:dyDescent="0.25">
      <c r="B120" s="32" t="s">
        <v>28</v>
      </c>
      <c r="C120" s="55">
        <v>80</v>
      </c>
      <c r="D120" s="55">
        <v>30</v>
      </c>
      <c r="E120" s="55">
        <v>40</v>
      </c>
      <c r="F120" s="55">
        <v>450</v>
      </c>
    </row>
    <row r="121" spans="1:10" x14ac:dyDescent="0.25">
      <c r="B121" s="32"/>
      <c r="C121" s="55"/>
      <c r="D121" s="55"/>
      <c r="E121" s="55"/>
      <c r="F121" s="55"/>
    </row>
    <row r="122" spans="1:10" ht="15.75" thickBot="1" x14ac:dyDescent="0.3">
      <c r="B122" s="32"/>
      <c r="C122" s="33"/>
      <c r="D122" s="33"/>
      <c r="E122" s="33"/>
      <c r="F122" s="33"/>
    </row>
    <row r="123" spans="1:10" ht="19.5" thickBot="1" x14ac:dyDescent="0.35">
      <c r="B123" s="32" t="s">
        <v>29</v>
      </c>
      <c r="C123" s="34">
        <f>C119*C120</f>
        <v>1200</v>
      </c>
      <c r="D123" s="34">
        <f>D119*D120</f>
        <v>450</v>
      </c>
      <c r="E123" s="34">
        <f>E119*E120</f>
        <v>440</v>
      </c>
      <c r="F123" s="34">
        <f>F119*F120</f>
        <v>6750</v>
      </c>
      <c r="G123" s="35">
        <f>SUM(C123:F123)</f>
        <v>8840</v>
      </c>
    </row>
    <row r="127" spans="1:10" ht="21" x14ac:dyDescent="0.35">
      <c r="B127" s="36" t="s">
        <v>30</v>
      </c>
      <c r="C127" s="37"/>
    </row>
    <row r="128" spans="1:10" ht="18.75" x14ac:dyDescent="0.3">
      <c r="C128" s="38" t="s">
        <v>12</v>
      </c>
      <c r="D128" s="39">
        <f>C119</f>
        <v>15</v>
      </c>
    </row>
    <row r="129" spans="3:4" ht="18.75" x14ac:dyDescent="0.3">
      <c r="C129" s="38" t="s">
        <v>13</v>
      </c>
      <c r="D129" s="39">
        <f>D119</f>
        <v>15</v>
      </c>
    </row>
    <row r="130" spans="3:4" ht="18.75" x14ac:dyDescent="0.3">
      <c r="C130" s="38" t="s">
        <v>14</v>
      </c>
      <c r="D130" s="39">
        <f>E119</f>
        <v>11</v>
      </c>
    </row>
    <row r="131" spans="3:4" ht="18.75" x14ac:dyDescent="0.3">
      <c r="C131" s="38" t="s">
        <v>17</v>
      </c>
      <c r="D131" s="39">
        <f>F119</f>
        <v>15</v>
      </c>
    </row>
  </sheetData>
  <mergeCells count="14">
    <mergeCell ref="A115:A117"/>
    <mergeCell ref="A62:A68"/>
    <mergeCell ref="A92:F92"/>
    <mergeCell ref="G92:H92"/>
    <mergeCell ref="A93:A96"/>
    <mergeCell ref="A114:F114"/>
    <mergeCell ref="G114:H114"/>
    <mergeCell ref="A61:J61"/>
    <mergeCell ref="K61:L61"/>
    <mergeCell ref="A1:J1"/>
    <mergeCell ref="A2:A8"/>
    <mergeCell ref="A30:J30"/>
    <mergeCell ref="K30:L30"/>
    <mergeCell ref="A31:A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J3" sqref="A3:J3"/>
    </sheetView>
  </sheetViews>
  <sheetFormatPr defaultRowHeight="15" x14ac:dyDescent="0.25"/>
  <cols>
    <col min="1" max="1" width="10.28515625" customWidth="1"/>
    <col min="2" max="2" width="19.85546875" customWidth="1"/>
    <col min="3" max="3" width="13.85546875" customWidth="1"/>
    <col min="4" max="9" width="6.7109375" customWidth="1"/>
  </cols>
  <sheetData>
    <row r="1" spans="1:11" ht="27" customHeight="1" thickBot="1" x14ac:dyDescent="0.45">
      <c r="A1" s="85" t="s">
        <v>62</v>
      </c>
      <c r="B1" s="86"/>
      <c r="C1" s="86"/>
      <c r="D1" s="86"/>
      <c r="E1" s="86"/>
      <c r="F1" s="86"/>
      <c r="G1" s="86"/>
      <c r="H1" s="86"/>
      <c r="I1" s="86"/>
      <c r="J1" s="87"/>
    </row>
    <row r="2" spans="1:11" ht="15.75" x14ac:dyDescent="0.25">
      <c r="A2" s="1" t="s">
        <v>1</v>
      </c>
      <c r="B2" s="1" t="s">
        <v>2</v>
      </c>
      <c r="C2" s="1" t="s">
        <v>32</v>
      </c>
      <c r="D2" s="2">
        <v>44</v>
      </c>
      <c r="E2" s="2">
        <v>46</v>
      </c>
      <c r="F2" s="2">
        <v>48</v>
      </c>
      <c r="G2" s="2">
        <v>50</v>
      </c>
      <c r="H2" s="2">
        <v>52</v>
      </c>
      <c r="I2" s="2">
        <v>54</v>
      </c>
      <c r="J2" s="3" t="s">
        <v>4</v>
      </c>
    </row>
    <row r="3" spans="1:11" ht="17.25" x14ac:dyDescent="0.3">
      <c r="A3" s="4">
        <v>1</v>
      </c>
      <c r="B3" s="5" t="s">
        <v>63</v>
      </c>
      <c r="C3" s="5" t="s">
        <v>64</v>
      </c>
      <c r="D3" s="4">
        <v>2</v>
      </c>
      <c r="E3" s="4">
        <v>23</v>
      </c>
      <c r="F3" s="4">
        <v>40</v>
      </c>
      <c r="G3" s="4">
        <v>43</v>
      </c>
      <c r="H3" s="4">
        <v>28</v>
      </c>
      <c r="I3" s="4">
        <v>10</v>
      </c>
      <c r="J3" s="4">
        <f>SUM(D3:I3)</f>
        <v>146</v>
      </c>
    </row>
    <row r="4" spans="1:11" ht="15.75" thickBot="1" x14ac:dyDescent="0.3"/>
    <row r="5" spans="1:11" ht="20.25" thickBot="1" x14ac:dyDescent="0.35">
      <c r="J5" s="6">
        <f>SUM(J3:J4)</f>
        <v>146</v>
      </c>
      <c r="K5" s="7"/>
    </row>
    <row r="6" spans="1:11" ht="19.5" x14ac:dyDescent="0.3">
      <c r="J6" s="11"/>
      <c r="K6" s="7"/>
    </row>
    <row r="7" spans="1:11" ht="19.5" x14ac:dyDescent="0.3">
      <c r="J7" s="11"/>
      <c r="K7" s="7"/>
    </row>
    <row r="8" spans="1:11" ht="19.5" x14ac:dyDescent="0.3">
      <c r="J8" s="11"/>
      <c r="K8" s="7"/>
    </row>
    <row r="10" spans="1:11" ht="15.75" thickBot="1" x14ac:dyDescent="0.3"/>
    <row r="11" spans="1:11" ht="29.25" customHeight="1" thickBot="1" x14ac:dyDescent="0.3">
      <c r="G11" s="83" t="s">
        <v>8</v>
      </c>
      <c r="H11" s="84"/>
      <c r="I11" s="84"/>
      <c r="J11" s="42">
        <f>J5</f>
        <v>146</v>
      </c>
    </row>
    <row r="34" spans="2:2" x14ac:dyDescent="0.25">
      <c r="B34" t="s">
        <v>58</v>
      </c>
    </row>
  </sheetData>
  <mergeCells count="2">
    <mergeCell ref="A1:J1"/>
    <mergeCell ref="G11:I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J16" sqref="J16"/>
    </sheetView>
  </sheetViews>
  <sheetFormatPr defaultColWidth="9" defaultRowHeight="15" x14ac:dyDescent="0.25"/>
  <cols>
    <col min="1" max="1" width="13.140625" customWidth="1"/>
    <col min="2" max="2" width="40.28515625" customWidth="1"/>
    <col min="3" max="3" width="14.28515625" customWidth="1"/>
    <col min="4" max="4" width="11" customWidth="1"/>
    <col min="5" max="5" width="11.85546875" customWidth="1"/>
    <col min="6" max="6" width="9.5703125" customWidth="1"/>
    <col min="7" max="7" width="21.28515625" customWidth="1"/>
    <col min="8" max="8" width="17.140625" customWidth="1"/>
  </cols>
  <sheetData>
    <row r="1" spans="1:10" ht="28.5" customHeight="1" thickBot="1" x14ac:dyDescent="0.3">
      <c r="A1" s="105" t="s">
        <v>65</v>
      </c>
      <c r="B1" s="95"/>
      <c r="C1" s="95"/>
      <c r="D1" s="95"/>
      <c r="E1" s="95"/>
      <c r="F1" s="95"/>
      <c r="G1" s="97" t="s">
        <v>42</v>
      </c>
      <c r="H1" s="98"/>
      <c r="I1" s="45"/>
      <c r="J1" s="45"/>
    </row>
    <row r="2" spans="1:10" ht="15.75" customHeight="1" x14ac:dyDescent="0.25">
      <c r="A2" s="106" t="s">
        <v>43</v>
      </c>
      <c r="B2" s="46" t="s">
        <v>11</v>
      </c>
      <c r="C2" s="46" t="s">
        <v>12</v>
      </c>
      <c r="D2" s="46" t="s">
        <v>13</v>
      </c>
      <c r="E2" s="46" t="s">
        <v>14</v>
      </c>
      <c r="F2" s="46" t="s">
        <v>17</v>
      </c>
    </row>
    <row r="3" spans="1:10" ht="15" customHeight="1" x14ac:dyDescent="0.25">
      <c r="A3" s="107"/>
      <c r="B3" s="59" t="s">
        <v>53</v>
      </c>
      <c r="C3" s="49">
        <v>19</v>
      </c>
      <c r="D3" s="49">
        <v>19</v>
      </c>
      <c r="E3" s="50">
        <v>0</v>
      </c>
      <c r="F3" s="50">
        <v>0</v>
      </c>
    </row>
    <row r="4" spans="1:10" s="20" customFormat="1" ht="16.5" customHeight="1" x14ac:dyDescent="0.25">
      <c r="A4" s="107"/>
      <c r="B4" s="60" t="s">
        <v>54</v>
      </c>
      <c r="C4" s="50">
        <v>42</v>
      </c>
      <c r="D4" s="50">
        <v>19</v>
      </c>
      <c r="E4" s="50">
        <v>22</v>
      </c>
      <c r="F4" s="50">
        <v>0</v>
      </c>
    </row>
    <row r="5" spans="1:10" s="20" customFormat="1" ht="16.5" customHeight="1" x14ac:dyDescent="0.25">
      <c r="A5" s="107"/>
      <c r="B5" s="48" t="s">
        <v>66</v>
      </c>
      <c r="C5" s="50">
        <v>47</v>
      </c>
      <c r="D5" s="50">
        <v>70</v>
      </c>
      <c r="E5" s="50">
        <v>38</v>
      </c>
      <c r="F5" s="50">
        <v>96</v>
      </c>
    </row>
    <row r="6" spans="1:10" s="20" customFormat="1" ht="16.5" customHeight="1" x14ac:dyDescent="0.25">
      <c r="A6" s="107"/>
      <c r="B6" s="48" t="s">
        <v>46</v>
      </c>
      <c r="C6" s="50">
        <v>36</v>
      </c>
      <c r="D6" s="50">
        <v>9</v>
      </c>
      <c r="E6" s="50">
        <v>6</v>
      </c>
      <c r="F6" s="50">
        <v>15</v>
      </c>
    </row>
    <row r="7" spans="1:10" s="20" customFormat="1" ht="16.5" customHeight="1" x14ac:dyDescent="0.25">
      <c r="A7" s="107"/>
      <c r="B7" s="61">
        <v>46052</v>
      </c>
      <c r="C7" s="50">
        <v>2</v>
      </c>
      <c r="D7" s="50">
        <v>29</v>
      </c>
      <c r="E7" s="50">
        <v>15</v>
      </c>
      <c r="F7" s="50">
        <v>29</v>
      </c>
    </row>
    <row r="8" spans="1:10" s="20" customFormat="1" ht="16.5" customHeight="1" x14ac:dyDescent="0.25">
      <c r="A8" s="108"/>
      <c r="B8" s="18" t="s">
        <v>67</v>
      </c>
      <c r="C8" s="50">
        <v>0</v>
      </c>
      <c r="D8" s="50">
        <v>0</v>
      </c>
      <c r="E8" s="50">
        <v>0</v>
      </c>
      <c r="F8" s="50">
        <v>6</v>
      </c>
    </row>
    <row r="9" spans="1:10" x14ac:dyDescent="0.25">
      <c r="A9" s="51"/>
      <c r="B9" s="26"/>
      <c r="C9" s="27"/>
      <c r="D9" s="27"/>
      <c r="E9" s="27"/>
      <c r="F9" s="28"/>
    </row>
    <row r="10" spans="1:10" s="31" customFormat="1" ht="15.75" x14ac:dyDescent="0.25">
      <c r="B10" s="29" t="s">
        <v>27</v>
      </c>
      <c r="C10" s="54">
        <f t="shared" ref="C10:F10" si="0">SUM(C3:C8)</f>
        <v>146</v>
      </c>
      <c r="D10" s="54">
        <f t="shared" si="0"/>
        <v>146</v>
      </c>
      <c r="E10" s="54">
        <f t="shared" si="0"/>
        <v>81</v>
      </c>
      <c r="F10" s="54">
        <f t="shared" si="0"/>
        <v>146</v>
      </c>
    </row>
    <row r="11" spans="1:10" x14ac:dyDescent="0.25">
      <c r="B11" s="32" t="s">
        <v>28</v>
      </c>
      <c r="C11" s="55">
        <v>70</v>
      </c>
      <c r="D11" s="55">
        <v>30</v>
      </c>
      <c r="E11" s="55">
        <v>40</v>
      </c>
      <c r="F11" s="55">
        <v>480</v>
      </c>
    </row>
    <row r="12" spans="1:10" x14ac:dyDescent="0.25">
      <c r="B12" s="32"/>
      <c r="C12" s="55"/>
      <c r="D12" s="55"/>
      <c r="E12" s="55"/>
      <c r="F12" s="55"/>
    </row>
    <row r="13" spans="1:10" ht="15.75" thickBot="1" x14ac:dyDescent="0.3">
      <c r="B13" s="32"/>
      <c r="C13" s="33"/>
      <c r="D13" s="33"/>
      <c r="E13" s="33"/>
      <c r="F13" s="33"/>
    </row>
    <row r="14" spans="1:10" ht="19.5" thickBot="1" x14ac:dyDescent="0.35">
      <c r="B14" s="32" t="s">
        <v>29</v>
      </c>
      <c r="C14" s="34">
        <f>C10*C11</f>
        <v>10220</v>
      </c>
      <c r="D14" s="34">
        <f>D10*D11</f>
        <v>4380</v>
      </c>
      <c r="E14" s="34">
        <f>E10*E11</f>
        <v>3240</v>
      </c>
      <c r="F14" s="34">
        <f>F10*F11</f>
        <v>70080</v>
      </c>
      <c r="G14" s="35">
        <f>SUM(C14:F14)</f>
        <v>87920</v>
      </c>
    </row>
    <row r="18" spans="2:4" ht="21" x14ac:dyDescent="0.35">
      <c r="B18" s="36" t="s">
        <v>30</v>
      </c>
      <c r="C18" s="37"/>
    </row>
    <row r="19" spans="2:4" ht="18.75" x14ac:dyDescent="0.3">
      <c r="C19" s="38" t="s">
        <v>12</v>
      </c>
      <c r="D19" s="39">
        <f>C10</f>
        <v>146</v>
      </c>
    </row>
    <row r="20" spans="2:4" ht="18.75" x14ac:dyDescent="0.3">
      <c r="C20" s="38" t="s">
        <v>13</v>
      </c>
      <c r="D20" s="39">
        <f>D10</f>
        <v>146</v>
      </c>
    </row>
    <row r="21" spans="2:4" ht="18.75" x14ac:dyDescent="0.3">
      <c r="C21" s="38" t="s">
        <v>14</v>
      </c>
      <c r="D21" s="39">
        <f>E10</f>
        <v>81</v>
      </c>
    </row>
    <row r="22" spans="2:4" ht="18.75" x14ac:dyDescent="0.3">
      <c r="C22" s="38" t="s">
        <v>17</v>
      </c>
      <c r="D22" s="39">
        <f>F10</f>
        <v>146</v>
      </c>
    </row>
  </sheetData>
  <mergeCells count="3">
    <mergeCell ref="A1:F1"/>
    <mergeCell ref="G1:H1"/>
    <mergeCell ref="A2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H36" sqref="H36"/>
    </sheetView>
  </sheetViews>
  <sheetFormatPr defaultRowHeight="15" x14ac:dyDescent="0.25"/>
  <cols>
    <col min="1" max="1" width="10.28515625" customWidth="1"/>
    <col min="2" max="2" width="19.85546875" customWidth="1"/>
    <col min="3" max="3" width="29.28515625" customWidth="1"/>
    <col min="4" max="10" width="6.7109375" customWidth="1"/>
  </cols>
  <sheetData>
    <row r="1" spans="1:13" ht="27" customHeight="1" thickBot="1" x14ac:dyDescent="0.45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7"/>
    </row>
    <row r="2" spans="1:13" ht="15.75" x14ac:dyDescent="0.25">
      <c r="A2" s="1" t="s">
        <v>1</v>
      </c>
      <c r="B2" s="1" t="s">
        <v>2</v>
      </c>
      <c r="C2" s="1" t="s">
        <v>3</v>
      </c>
      <c r="D2" s="2">
        <v>46</v>
      </c>
      <c r="E2" s="2">
        <v>48</v>
      </c>
      <c r="F2" s="2">
        <v>50</v>
      </c>
      <c r="G2" s="2">
        <v>52</v>
      </c>
      <c r="H2" s="2">
        <v>54</v>
      </c>
      <c r="I2" s="2">
        <v>56</v>
      </c>
      <c r="J2" s="2">
        <v>58</v>
      </c>
      <c r="K2" s="2">
        <v>60</v>
      </c>
      <c r="L2" s="3" t="s">
        <v>4</v>
      </c>
    </row>
    <row r="3" spans="1:13" ht="17.25" x14ac:dyDescent="0.3">
      <c r="A3" s="4">
        <v>1</v>
      </c>
      <c r="B3" s="5" t="s">
        <v>5</v>
      </c>
      <c r="C3" s="4" t="s">
        <v>6</v>
      </c>
      <c r="D3" s="4">
        <v>5</v>
      </c>
      <c r="E3" s="4">
        <v>28</v>
      </c>
      <c r="F3" s="4">
        <v>62</v>
      </c>
      <c r="G3" s="4">
        <v>61</v>
      </c>
      <c r="H3" s="4">
        <v>33</v>
      </c>
      <c r="I3" s="4">
        <v>9</v>
      </c>
      <c r="J3" s="4">
        <v>5</v>
      </c>
      <c r="K3" s="4">
        <v>2</v>
      </c>
      <c r="L3" s="4">
        <f>SUM(D3:K3)</f>
        <v>205</v>
      </c>
    </row>
    <row r="4" spans="1:13" ht="15.75" thickBot="1" x14ac:dyDescent="0.3"/>
    <row r="5" spans="1:13" ht="20.25" thickBot="1" x14ac:dyDescent="0.35">
      <c r="L5" s="6">
        <f>SUM(L3:L4)</f>
        <v>205</v>
      </c>
      <c r="M5" s="7"/>
    </row>
    <row r="7" spans="1:13" ht="15.75" x14ac:dyDescent="0.25">
      <c r="A7" s="8" t="s">
        <v>1</v>
      </c>
      <c r="B7" s="8" t="s">
        <v>2</v>
      </c>
      <c r="C7" s="8" t="s">
        <v>3</v>
      </c>
      <c r="D7" s="2">
        <v>46</v>
      </c>
      <c r="E7" s="2">
        <v>48</v>
      </c>
      <c r="F7" s="2">
        <v>50</v>
      </c>
      <c r="G7" s="2">
        <v>52</v>
      </c>
      <c r="H7" s="2">
        <v>54</v>
      </c>
      <c r="I7" s="2">
        <v>56</v>
      </c>
      <c r="J7" s="2">
        <v>58</v>
      </c>
      <c r="K7" s="2">
        <v>60</v>
      </c>
      <c r="L7" s="9" t="s">
        <v>4</v>
      </c>
    </row>
    <row r="8" spans="1:13" ht="17.25" x14ac:dyDescent="0.3">
      <c r="A8" s="4">
        <v>1</v>
      </c>
      <c r="B8" s="5" t="s">
        <v>5</v>
      </c>
      <c r="C8" s="4" t="s">
        <v>7</v>
      </c>
      <c r="D8" s="10">
        <v>2</v>
      </c>
      <c r="E8" s="10">
        <v>8</v>
      </c>
      <c r="F8" s="10">
        <v>13</v>
      </c>
      <c r="G8" s="10">
        <v>15</v>
      </c>
      <c r="H8" s="10">
        <v>11</v>
      </c>
      <c r="I8" s="10">
        <v>3</v>
      </c>
      <c r="J8" s="10">
        <v>1</v>
      </c>
      <c r="K8" s="10">
        <v>1</v>
      </c>
      <c r="L8" s="4">
        <f>SUM(D8:K8)</f>
        <v>54</v>
      </c>
    </row>
    <row r="9" spans="1:13" ht="15.75" thickBot="1" x14ac:dyDescent="0.3"/>
    <row r="10" spans="1:13" ht="20.25" thickBot="1" x14ac:dyDescent="0.35">
      <c r="L10" s="6">
        <f>SUM(L8:L9)</f>
        <v>54</v>
      </c>
      <c r="M10" s="7"/>
    </row>
    <row r="11" spans="1:13" ht="19.5" x14ac:dyDescent="0.3">
      <c r="L11" s="11"/>
      <c r="M11" s="7"/>
    </row>
    <row r="12" spans="1:13" ht="15.75" thickBot="1" x14ac:dyDescent="0.3"/>
    <row r="13" spans="1:13" ht="29.25" customHeight="1" thickBot="1" x14ac:dyDescent="0.3">
      <c r="F13" s="109" t="s">
        <v>8</v>
      </c>
      <c r="G13" s="110"/>
      <c r="H13" s="110"/>
      <c r="I13" s="110"/>
      <c r="J13" s="110"/>
      <c r="K13" s="111"/>
      <c r="L13" s="12">
        <f>L5+L10</f>
        <v>259</v>
      </c>
    </row>
    <row r="18" spans="3:3" ht="15.75" thickBot="1" x14ac:dyDescent="0.3"/>
    <row r="19" spans="3:3" ht="15.75" thickBot="1" x14ac:dyDescent="0.3">
      <c r="C19" s="13"/>
    </row>
    <row r="20" spans="3:3" x14ac:dyDescent="0.25">
      <c r="C20" t="s">
        <v>9</v>
      </c>
    </row>
  </sheetData>
  <mergeCells count="2">
    <mergeCell ref="A1:L1"/>
    <mergeCell ref="F13:K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F26" sqref="F26"/>
    </sheetView>
  </sheetViews>
  <sheetFormatPr defaultRowHeight="15" x14ac:dyDescent="0.25"/>
  <cols>
    <col min="1" max="1" width="40.140625" customWidth="1"/>
    <col min="2" max="2" width="15.140625" customWidth="1"/>
    <col min="8" max="8" width="11.42578125" customWidth="1"/>
    <col min="9" max="9" width="10.85546875" customWidth="1"/>
    <col min="15" max="16" width="12.85546875" customWidth="1"/>
  </cols>
  <sheetData>
    <row r="1" spans="1:15" ht="29.25" thickBot="1" x14ac:dyDescent="0.35">
      <c r="A1" s="112" t="s">
        <v>10</v>
      </c>
      <c r="B1" s="113"/>
      <c r="C1" s="113"/>
      <c r="D1" s="113"/>
      <c r="E1" s="113"/>
      <c r="F1" s="113"/>
      <c r="G1" s="113"/>
      <c r="H1" s="114"/>
      <c r="N1" s="115"/>
      <c r="O1" s="115"/>
    </row>
    <row r="2" spans="1:15" ht="15.7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</row>
    <row r="3" spans="1:15" ht="26.25" customHeight="1" x14ac:dyDescent="0.3">
      <c r="A3" s="14" t="s">
        <v>19</v>
      </c>
      <c r="B3" s="15">
        <f>21+9+29</f>
        <v>59</v>
      </c>
      <c r="C3" s="15">
        <v>62</v>
      </c>
      <c r="D3" s="16">
        <v>11</v>
      </c>
      <c r="E3" s="17">
        <v>0</v>
      </c>
      <c r="F3" s="17">
        <v>0</v>
      </c>
      <c r="G3" s="17">
        <v>0</v>
      </c>
      <c r="H3" s="16">
        <v>0</v>
      </c>
    </row>
    <row r="4" spans="1:15" s="20" customFormat="1" ht="26.25" customHeight="1" x14ac:dyDescent="0.3">
      <c r="A4" s="18" t="s">
        <v>20</v>
      </c>
      <c r="B4" s="19">
        <v>64</v>
      </c>
      <c r="C4" s="16">
        <v>67</v>
      </c>
      <c r="D4" s="16">
        <v>72</v>
      </c>
      <c r="E4" s="17">
        <v>94</v>
      </c>
      <c r="F4" s="17">
        <v>0</v>
      </c>
      <c r="G4" s="17">
        <v>0</v>
      </c>
      <c r="H4" s="19">
        <v>0</v>
      </c>
    </row>
    <row r="5" spans="1:15" s="20" customFormat="1" ht="26.25" customHeight="1" x14ac:dyDescent="0.3">
      <c r="A5" s="18" t="s">
        <v>21</v>
      </c>
      <c r="B5" s="16">
        <v>52</v>
      </c>
      <c r="C5" s="16">
        <v>50</v>
      </c>
      <c r="D5" s="16">
        <f>67+23</f>
        <v>90</v>
      </c>
      <c r="E5" s="17">
        <v>2</v>
      </c>
      <c r="F5" s="17">
        <v>96</v>
      </c>
      <c r="G5" s="17">
        <v>42</v>
      </c>
      <c r="H5" s="19">
        <v>0</v>
      </c>
    </row>
    <row r="6" spans="1:15" s="20" customFormat="1" ht="40.5" customHeight="1" x14ac:dyDescent="0.3">
      <c r="A6" s="21" t="s">
        <v>22</v>
      </c>
      <c r="B6" s="16">
        <v>0</v>
      </c>
      <c r="C6" s="16">
        <v>0</v>
      </c>
      <c r="D6" s="19">
        <v>0</v>
      </c>
      <c r="E6" s="22">
        <v>0</v>
      </c>
      <c r="F6" s="22">
        <v>0</v>
      </c>
      <c r="G6" s="22">
        <v>15</v>
      </c>
      <c r="H6" s="19">
        <v>0</v>
      </c>
    </row>
    <row r="7" spans="1:15" s="20" customFormat="1" ht="31.5" customHeight="1" x14ac:dyDescent="0.3">
      <c r="A7" s="23" t="s">
        <v>23</v>
      </c>
      <c r="B7" s="16">
        <v>78</v>
      </c>
      <c r="C7" s="16">
        <v>79</v>
      </c>
      <c r="D7" s="19">
        <v>95</v>
      </c>
      <c r="E7" s="22">
        <v>0</v>
      </c>
      <c r="F7" s="22">
        <v>0</v>
      </c>
      <c r="G7" s="22">
        <v>70</v>
      </c>
      <c r="H7" s="19">
        <v>0</v>
      </c>
    </row>
    <row r="8" spans="1:15" s="20" customFormat="1" ht="31.5" customHeight="1" x14ac:dyDescent="0.3">
      <c r="A8" s="23" t="s">
        <v>24</v>
      </c>
      <c r="B8" s="16">
        <v>0</v>
      </c>
      <c r="C8" s="16">
        <v>0</v>
      </c>
      <c r="D8" s="19">
        <v>0</v>
      </c>
      <c r="E8" s="22">
        <v>29</v>
      </c>
      <c r="F8" s="22">
        <v>0</v>
      </c>
      <c r="G8" s="22">
        <v>0</v>
      </c>
      <c r="H8" s="19">
        <v>0</v>
      </c>
    </row>
    <row r="9" spans="1:15" s="20" customFormat="1" ht="31.5" customHeight="1" x14ac:dyDescent="0.3">
      <c r="A9" s="23" t="s">
        <v>25</v>
      </c>
      <c r="B9" s="16">
        <v>0</v>
      </c>
      <c r="C9" s="16">
        <v>0</v>
      </c>
      <c r="D9" s="19">
        <v>0</v>
      </c>
      <c r="E9" s="22">
        <v>0</v>
      </c>
      <c r="F9" s="22">
        <v>29</v>
      </c>
      <c r="G9" s="22">
        <v>0</v>
      </c>
      <c r="H9" s="19">
        <v>0</v>
      </c>
    </row>
    <row r="10" spans="1:15" s="20" customFormat="1" ht="31.5" customHeight="1" x14ac:dyDescent="0.3">
      <c r="A10" s="21" t="s">
        <v>26</v>
      </c>
      <c r="B10" s="16">
        <v>0</v>
      </c>
      <c r="C10" s="16">
        <v>0</v>
      </c>
      <c r="D10" s="19">
        <v>0</v>
      </c>
      <c r="E10" s="22">
        <v>0</v>
      </c>
      <c r="F10" s="19">
        <v>0</v>
      </c>
      <c r="G10" s="19">
        <v>8</v>
      </c>
      <c r="H10" s="19">
        <v>0</v>
      </c>
    </row>
    <row r="11" spans="1:15" s="20" customFormat="1" ht="16.5" customHeight="1" x14ac:dyDescent="0.25">
      <c r="A11" s="24"/>
      <c r="B11" s="25"/>
      <c r="C11" s="25"/>
      <c r="D11" s="25"/>
      <c r="E11" s="25"/>
      <c r="F11" s="25"/>
      <c r="G11" s="25"/>
      <c r="H11" s="25"/>
    </row>
    <row r="12" spans="1:15" x14ac:dyDescent="0.25">
      <c r="A12" s="26"/>
      <c r="B12" s="27"/>
      <c r="C12" s="27"/>
      <c r="D12" s="27"/>
      <c r="E12" s="27"/>
      <c r="F12" s="27"/>
      <c r="G12" s="27"/>
      <c r="H12" s="28"/>
    </row>
    <row r="13" spans="1:15" s="31" customFormat="1" ht="17.25" x14ac:dyDescent="0.3">
      <c r="A13" s="29" t="s">
        <v>27</v>
      </c>
      <c r="B13" s="30">
        <f>SUM(B3:B10)</f>
        <v>253</v>
      </c>
      <c r="C13" s="30">
        <f t="shared" ref="C13:H13" si="0">SUM(C3:C10)</f>
        <v>258</v>
      </c>
      <c r="D13" s="30">
        <f t="shared" si="0"/>
        <v>268</v>
      </c>
      <c r="E13" s="30">
        <f t="shared" si="0"/>
        <v>125</v>
      </c>
      <c r="F13" s="30">
        <f t="shared" si="0"/>
        <v>125</v>
      </c>
      <c r="G13" s="30">
        <f t="shared" si="0"/>
        <v>135</v>
      </c>
      <c r="H13" s="30">
        <f t="shared" si="0"/>
        <v>0</v>
      </c>
    </row>
    <row r="14" spans="1:15" ht="17.25" x14ac:dyDescent="0.3">
      <c r="A14" s="32" t="s">
        <v>28</v>
      </c>
      <c r="B14" s="30">
        <v>80</v>
      </c>
      <c r="C14" s="30">
        <v>30</v>
      </c>
      <c r="D14" s="30">
        <v>40</v>
      </c>
      <c r="E14" s="30">
        <v>250</v>
      </c>
      <c r="F14" s="30">
        <v>250</v>
      </c>
      <c r="G14" s="30">
        <v>500</v>
      </c>
      <c r="H14" s="30"/>
    </row>
    <row r="15" spans="1:15" ht="17.25" x14ac:dyDescent="0.3">
      <c r="A15" s="32"/>
      <c r="B15" s="30"/>
      <c r="C15" s="30"/>
      <c r="D15" s="30"/>
      <c r="E15" s="30"/>
      <c r="F15" s="30"/>
      <c r="G15" s="30"/>
      <c r="H15" s="30"/>
    </row>
    <row r="16" spans="1:15" ht="15.75" thickBot="1" x14ac:dyDescent="0.3">
      <c r="A16" s="32"/>
      <c r="B16" s="33"/>
      <c r="C16" s="33"/>
      <c r="D16" s="33"/>
      <c r="E16" s="33"/>
      <c r="F16" s="33"/>
      <c r="G16" s="33"/>
      <c r="H16" s="33"/>
    </row>
    <row r="17" spans="1:9" ht="19.5" thickBot="1" x14ac:dyDescent="0.35">
      <c r="A17" s="32" t="s">
        <v>29</v>
      </c>
      <c r="B17" s="34">
        <f>B13*B14</f>
        <v>20240</v>
      </c>
      <c r="C17" s="34">
        <f t="shared" ref="C17:H17" si="1">C13*C14</f>
        <v>7740</v>
      </c>
      <c r="D17" s="34">
        <f t="shared" si="1"/>
        <v>10720</v>
      </c>
      <c r="E17" s="34">
        <f t="shared" si="1"/>
        <v>31250</v>
      </c>
      <c r="F17" s="34">
        <f t="shared" si="1"/>
        <v>31250</v>
      </c>
      <c r="G17" s="34">
        <f t="shared" si="1"/>
        <v>67500</v>
      </c>
      <c r="H17" s="34">
        <f t="shared" si="1"/>
        <v>0</v>
      </c>
      <c r="I17" s="35">
        <f>SUM(B17:H17)</f>
        <v>168700</v>
      </c>
    </row>
    <row r="21" spans="1:9" ht="21" x14ac:dyDescent="0.35">
      <c r="A21" s="36" t="s">
        <v>30</v>
      </c>
      <c r="B21" s="37"/>
    </row>
    <row r="22" spans="1:9" ht="18.75" x14ac:dyDescent="0.3">
      <c r="B22" s="38" t="s">
        <v>12</v>
      </c>
      <c r="C22" s="39">
        <f>B13</f>
        <v>253</v>
      </c>
    </row>
    <row r="23" spans="1:9" ht="18.75" x14ac:dyDescent="0.3">
      <c r="B23" s="38" t="s">
        <v>13</v>
      </c>
      <c r="C23" s="39">
        <f>C13</f>
        <v>258</v>
      </c>
    </row>
    <row r="24" spans="1:9" ht="18.75" x14ac:dyDescent="0.3">
      <c r="B24" s="38" t="s">
        <v>14</v>
      </c>
      <c r="C24" s="39">
        <f>D13</f>
        <v>268</v>
      </c>
    </row>
    <row r="25" spans="1:9" ht="18.75" x14ac:dyDescent="0.3">
      <c r="B25" s="38" t="s">
        <v>15</v>
      </c>
      <c r="C25" s="39">
        <f>E13</f>
        <v>125</v>
      </c>
    </row>
    <row r="26" spans="1:9" ht="18.75" x14ac:dyDescent="0.3">
      <c r="B26" s="38" t="s">
        <v>16</v>
      </c>
      <c r="C26" s="39">
        <f>F13</f>
        <v>125</v>
      </c>
    </row>
    <row r="27" spans="1:9" ht="18.75" x14ac:dyDescent="0.3">
      <c r="B27" s="38" t="s">
        <v>17</v>
      </c>
      <c r="C27" s="39">
        <f>G13</f>
        <v>135</v>
      </c>
    </row>
    <row r="28" spans="1:9" ht="18.75" x14ac:dyDescent="0.3">
      <c r="B28" s="38" t="s">
        <v>18</v>
      </c>
      <c r="C28" s="39">
        <f>H13</f>
        <v>0</v>
      </c>
    </row>
  </sheetData>
  <mergeCells count="2">
    <mergeCell ref="A1:H1"/>
    <mergeCell ref="N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O29" sqref="O29"/>
    </sheetView>
  </sheetViews>
  <sheetFormatPr defaultRowHeight="15" x14ac:dyDescent="0.25"/>
  <cols>
    <col min="1" max="1" width="10.28515625" customWidth="1"/>
    <col min="2" max="2" width="19.85546875" customWidth="1"/>
    <col min="3" max="3" width="13.85546875" customWidth="1"/>
    <col min="4" max="9" width="6.7109375" customWidth="1"/>
  </cols>
  <sheetData>
    <row r="1" spans="1:11" ht="27" customHeight="1" thickBot="1" x14ac:dyDescent="0.45">
      <c r="A1" s="85" t="s">
        <v>68</v>
      </c>
      <c r="B1" s="86"/>
      <c r="C1" s="86"/>
      <c r="D1" s="86"/>
      <c r="E1" s="86"/>
      <c r="F1" s="86"/>
      <c r="G1" s="86"/>
      <c r="H1" s="86"/>
      <c r="I1" s="86"/>
      <c r="J1" s="87"/>
    </row>
    <row r="2" spans="1:11" ht="15.75" x14ac:dyDescent="0.25">
      <c r="A2" s="1" t="s">
        <v>1</v>
      </c>
      <c r="B2" s="1" t="s">
        <v>2</v>
      </c>
      <c r="C2" s="1" t="s">
        <v>32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3" t="s">
        <v>4</v>
      </c>
    </row>
    <row r="3" spans="1:11" ht="17.25" x14ac:dyDescent="0.3">
      <c r="A3" s="4">
        <v>1</v>
      </c>
      <c r="B3" s="5" t="s">
        <v>75</v>
      </c>
      <c r="C3" s="5" t="s">
        <v>76</v>
      </c>
      <c r="D3" s="4">
        <v>6</v>
      </c>
      <c r="E3" s="4">
        <v>9</v>
      </c>
      <c r="F3" s="4">
        <v>11</v>
      </c>
      <c r="G3" s="4">
        <v>9</v>
      </c>
      <c r="H3" s="4">
        <v>8</v>
      </c>
      <c r="I3" s="4">
        <v>7</v>
      </c>
      <c r="J3" s="4">
        <f>SUM(D3:I3)</f>
        <v>50</v>
      </c>
    </row>
    <row r="4" spans="1:11" ht="15.75" thickBot="1" x14ac:dyDescent="0.3"/>
    <row r="5" spans="1:11" ht="20.25" thickBot="1" x14ac:dyDescent="0.35">
      <c r="J5" s="6">
        <f>SUM(J3:J4)</f>
        <v>50</v>
      </c>
      <c r="K5" s="7"/>
    </row>
    <row r="7" spans="1:11" ht="15.75" x14ac:dyDescent="0.25">
      <c r="A7" s="8" t="s">
        <v>1</v>
      </c>
      <c r="B7" s="8" t="s">
        <v>2</v>
      </c>
      <c r="C7" s="8" t="s">
        <v>32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9" t="s">
        <v>4</v>
      </c>
    </row>
    <row r="8" spans="1:11" ht="17.25" x14ac:dyDescent="0.3">
      <c r="A8" s="4">
        <v>2</v>
      </c>
      <c r="B8" s="5" t="s">
        <v>77</v>
      </c>
      <c r="C8" s="5" t="s">
        <v>78</v>
      </c>
      <c r="D8" s="4">
        <v>6</v>
      </c>
      <c r="E8" s="4">
        <v>9</v>
      </c>
      <c r="F8" s="4">
        <v>11</v>
      </c>
      <c r="G8" s="4">
        <v>9</v>
      </c>
      <c r="H8" s="4">
        <v>8</v>
      </c>
      <c r="I8" s="4">
        <v>7</v>
      </c>
      <c r="J8" s="4">
        <f>SUM(D8:I8)</f>
        <v>50</v>
      </c>
    </row>
    <row r="9" spans="1:11" ht="15.75" thickBot="1" x14ac:dyDescent="0.3"/>
    <row r="10" spans="1:11" ht="20.25" thickBot="1" x14ac:dyDescent="0.35">
      <c r="J10" s="6">
        <f>SUM(J8:J9)</f>
        <v>50</v>
      </c>
      <c r="K10" s="7"/>
    </row>
    <row r="11" spans="1:11" ht="19.5" x14ac:dyDescent="0.3">
      <c r="D11" s="62"/>
      <c r="E11" s="62"/>
      <c r="F11" s="62"/>
      <c r="G11" s="62"/>
      <c r="H11" s="62"/>
      <c r="J11" s="11"/>
      <c r="K11" s="7"/>
    </row>
    <row r="12" spans="1:11" ht="15.75" x14ac:dyDescent="0.25">
      <c r="A12" s="8" t="s">
        <v>1</v>
      </c>
      <c r="B12" s="8" t="s">
        <v>2</v>
      </c>
      <c r="C12" s="8" t="s">
        <v>32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73</v>
      </c>
      <c r="I12" s="2" t="s">
        <v>74</v>
      </c>
      <c r="J12" s="9" t="s">
        <v>4</v>
      </c>
    </row>
    <row r="13" spans="1:11" ht="17.25" x14ac:dyDescent="0.3">
      <c r="A13" s="4">
        <v>3</v>
      </c>
      <c r="B13" s="5" t="s">
        <v>79</v>
      </c>
      <c r="C13" s="5" t="s">
        <v>80</v>
      </c>
      <c r="D13" s="4">
        <v>6</v>
      </c>
      <c r="E13" s="4">
        <v>9</v>
      </c>
      <c r="F13" s="4">
        <v>11</v>
      </c>
      <c r="G13" s="4">
        <v>9</v>
      </c>
      <c r="H13" s="4">
        <v>8</v>
      </c>
      <c r="I13" s="4">
        <v>7</v>
      </c>
      <c r="J13" s="4">
        <f>SUM(D13:I13)</f>
        <v>50</v>
      </c>
    </row>
    <row r="14" spans="1:11" ht="15.75" thickBot="1" x14ac:dyDescent="0.3"/>
    <row r="15" spans="1:11" ht="20.25" thickBot="1" x14ac:dyDescent="0.35">
      <c r="J15" s="6">
        <f>SUM(J13:J14)</f>
        <v>50</v>
      </c>
      <c r="K15" s="7"/>
    </row>
    <row r="16" spans="1:11" ht="19.5" x14ac:dyDescent="0.3">
      <c r="D16" s="62"/>
      <c r="E16" s="62"/>
      <c r="F16" s="62"/>
      <c r="G16" s="62"/>
      <c r="J16" s="11"/>
      <c r="K16" s="7"/>
    </row>
    <row r="17" spans="7:11" ht="19.5" x14ac:dyDescent="0.3">
      <c r="J17" s="11"/>
      <c r="K17" s="7"/>
    </row>
    <row r="18" spans="7:11" ht="15.75" thickBot="1" x14ac:dyDescent="0.3"/>
    <row r="19" spans="7:11" ht="29.25" customHeight="1" thickBot="1" x14ac:dyDescent="0.3">
      <c r="G19" s="83" t="s">
        <v>8</v>
      </c>
      <c r="H19" s="84"/>
      <c r="I19" s="84"/>
      <c r="J19" s="42">
        <f>J5+J10+J15</f>
        <v>150</v>
      </c>
    </row>
  </sheetData>
  <mergeCells count="2">
    <mergeCell ref="A1:J1"/>
    <mergeCell ref="G19:I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workbookViewId="0">
      <selection activeCell="L18" sqref="L18"/>
    </sheetView>
  </sheetViews>
  <sheetFormatPr defaultRowHeight="15" x14ac:dyDescent="0.25"/>
  <cols>
    <col min="1" max="1" width="42.42578125" customWidth="1"/>
    <col min="2" max="2" width="15.140625" customWidth="1"/>
    <col min="6" max="6" width="11.140625" customWidth="1"/>
    <col min="8" max="8" width="11.42578125" customWidth="1"/>
    <col min="9" max="9" width="10.85546875" customWidth="1"/>
    <col min="15" max="16" width="12.85546875" customWidth="1"/>
  </cols>
  <sheetData>
    <row r="1" spans="1:15" ht="39.75" customHeight="1" thickBot="1" x14ac:dyDescent="0.35">
      <c r="A1" s="112" t="s">
        <v>81</v>
      </c>
      <c r="B1" s="113"/>
      <c r="C1" s="113"/>
      <c r="D1" s="113"/>
      <c r="E1" s="113"/>
      <c r="F1" s="113"/>
      <c r="G1" s="113"/>
      <c r="H1" s="114"/>
      <c r="M1" s="116" t="s">
        <v>82</v>
      </c>
      <c r="N1" s="117"/>
      <c r="O1" s="118"/>
    </row>
    <row r="2" spans="1:15" ht="39.75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</row>
    <row r="3" spans="1:15" ht="26.25" customHeight="1" x14ac:dyDescent="0.3">
      <c r="A3" s="63" t="s">
        <v>83</v>
      </c>
      <c r="B3" s="15">
        <v>51</v>
      </c>
      <c r="C3" s="15">
        <v>41</v>
      </c>
      <c r="D3" s="16">
        <v>0</v>
      </c>
      <c r="E3" s="17">
        <v>0</v>
      </c>
      <c r="F3" s="17">
        <v>0</v>
      </c>
      <c r="G3" s="17">
        <v>0</v>
      </c>
      <c r="H3" s="16">
        <v>0</v>
      </c>
      <c r="I3" t="s">
        <v>79</v>
      </c>
    </row>
    <row r="4" spans="1:15" s="20" customFormat="1" ht="26.25" customHeight="1" x14ac:dyDescent="0.3">
      <c r="A4" s="14" t="s">
        <v>19</v>
      </c>
      <c r="B4" s="16">
        <v>0</v>
      </c>
      <c r="C4" s="16">
        <v>10</v>
      </c>
      <c r="D4" s="16">
        <v>50</v>
      </c>
      <c r="E4" s="17">
        <v>44</v>
      </c>
      <c r="F4" s="17">
        <v>0</v>
      </c>
      <c r="G4" s="17">
        <v>0</v>
      </c>
      <c r="H4" s="19">
        <v>0</v>
      </c>
    </row>
    <row r="5" spans="1:15" s="20" customFormat="1" ht="31.5" customHeight="1" x14ac:dyDescent="0.3">
      <c r="A5" s="21" t="s">
        <v>84</v>
      </c>
      <c r="B5" s="16">
        <v>0</v>
      </c>
      <c r="C5" s="16">
        <v>0</v>
      </c>
      <c r="D5" s="16">
        <v>0</v>
      </c>
      <c r="E5" s="17">
        <v>0</v>
      </c>
      <c r="F5" s="17">
        <v>0</v>
      </c>
      <c r="G5" s="17">
        <v>6</v>
      </c>
      <c r="H5" s="19">
        <v>1</v>
      </c>
    </row>
    <row r="6" spans="1:15" s="20" customFormat="1" ht="26.25" customHeight="1" x14ac:dyDescent="0.3">
      <c r="A6" s="18" t="s">
        <v>20</v>
      </c>
      <c r="B6" s="19">
        <v>0</v>
      </c>
      <c r="C6" s="16">
        <v>0</v>
      </c>
      <c r="D6" s="16">
        <v>0</v>
      </c>
      <c r="E6" s="17">
        <v>0</v>
      </c>
      <c r="F6" s="17">
        <v>3</v>
      </c>
      <c r="G6" s="17">
        <v>0</v>
      </c>
      <c r="H6" s="19">
        <v>0</v>
      </c>
    </row>
    <row r="7" spans="1:15" s="20" customFormat="1" ht="26.25" customHeight="1" x14ac:dyDescent="0.3">
      <c r="A7" s="18" t="s">
        <v>85</v>
      </c>
      <c r="B7" s="19">
        <v>0</v>
      </c>
      <c r="C7" s="16">
        <v>0</v>
      </c>
      <c r="D7" s="16">
        <v>0</v>
      </c>
      <c r="E7" s="17">
        <v>0</v>
      </c>
      <c r="F7" s="17">
        <v>41</v>
      </c>
      <c r="G7" s="17">
        <v>0</v>
      </c>
      <c r="H7" s="19">
        <v>0</v>
      </c>
    </row>
    <row r="8" spans="1:15" s="20" customFormat="1" ht="16.5" customHeight="1" x14ac:dyDescent="0.25">
      <c r="A8" s="24"/>
      <c r="B8" s="25"/>
      <c r="C8" s="25"/>
      <c r="D8" s="25"/>
      <c r="E8" s="25"/>
      <c r="F8" s="25"/>
      <c r="G8" s="25"/>
      <c r="H8" s="25"/>
    </row>
    <row r="9" spans="1:15" x14ac:dyDescent="0.25">
      <c r="A9" s="26"/>
      <c r="B9" s="27"/>
      <c r="C9" s="27"/>
      <c r="D9" s="27"/>
      <c r="E9" s="27"/>
      <c r="F9" s="27"/>
      <c r="G9" s="27"/>
      <c r="H9" s="28"/>
    </row>
    <row r="10" spans="1:15" s="31" customFormat="1" ht="17.25" x14ac:dyDescent="0.3">
      <c r="A10" s="29" t="s">
        <v>27</v>
      </c>
      <c r="B10" s="30">
        <f>SUM(B3:B7)</f>
        <v>51</v>
      </c>
      <c r="C10" s="30">
        <f t="shared" ref="C10:H10" si="0">SUM(C3:C7)</f>
        <v>51</v>
      </c>
      <c r="D10" s="30">
        <f t="shared" si="0"/>
        <v>50</v>
      </c>
      <c r="E10" s="30">
        <f t="shared" si="0"/>
        <v>44</v>
      </c>
      <c r="F10" s="30">
        <f t="shared" si="0"/>
        <v>44</v>
      </c>
      <c r="G10" s="30">
        <f t="shared" si="0"/>
        <v>6</v>
      </c>
      <c r="H10" s="30">
        <f t="shared" si="0"/>
        <v>1</v>
      </c>
    </row>
    <row r="11" spans="1:15" ht="17.25" x14ac:dyDescent="0.3">
      <c r="A11" s="32" t="s">
        <v>28</v>
      </c>
      <c r="B11" s="30">
        <v>70</v>
      </c>
      <c r="C11" s="30">
        <v>30</v>
      </c>
      <c r="D11" s="30">
        <v>40</v>
      </c>
      <c r="E11" s="30">
        <v>300</v>
      </c>
      <c r="F11" s="30">
        <v>200</v>
      </c>
      <c r="G11" s="30">
        <v>500</v>
      </c>
      <c r="H11" s="30">
        <v>850</v>
      </c>
    </row>
    <row r="12" spans="1:15" ht="17.25" x14ac:dyDescent="0.3">
      <c r="A12" s="32"/>
      <c r="B12" s="30"/>
      <c r="C12" s="30"/>
      <c r="D12" s="30"/>
      <c r="E12" s="30"/>
      <c r="F12" s="30"/>
      <c r="G12" s="30"/>
      <c r="H12" s="30"/>
    </row>
    <row r="13" spans="1:15" ht="15.75" thickBot="1" x14ac:dyDescent="0.3">
      <c r="A13" s="32"/>
      <c r="B13" s="33"/>
      <c r="C13" s="33"/>
      <c r="D13" s="33"/>
      <c r="E13" s="33"/>
      <c r="F13" s="33"/>
      <c r="G13" s="33"/>
      <c r="H13" s="33"/>
    </row>
    <row r="14" spans="1:15" ht="19.5" thickBot="1" x14ac:dyDescent="0.35">
      <c r="A14" s="32" t="s">
        <v>29</v>
      </c>
      <c r="B14" s="34">
        <f>B10*B11</f>
        <v>3570</v>
      </c>
      <c r="C14" s="34">
        <f t="shared" ref="C14:G14" si="1">C10*C11</f>
        <v>1530</v>
      </c>
      <c r="D14" s="34">
        <f t="shared" si="1"/>
        <v>2000</v>
      </c>
      <c r="E14" s="34">
        <f t="shared" si="1"/>
        <v>13200</v>
      </c>
      <c r="F14" s="34">
        <f t="shared" si="1"/>
        <v>8800</v>
      </c>
      <c r="G14" s="34">
        <f t="shared" si="1"/>
        <v>3000</v>
      </c>
      <c r="H14" s="34">
        <f>H10*H11</f>
        <v>850</v>
      </c>
      <c r="I14" s="35">
        <f>SUM(B14:H14)</f>
        <v>32950</v>
      </c>
    </row>
    <row r="18" spans="1:13" ht="21" x14ac:dyDescent="0.35">
      <c r="A18" s="36" t="s">
        <v>30</v>
      </c>
      <c r="B18" s="37"/>
    </row>
    <row r="19" spans="1:13" ht="18.75" x14ac:dyDescent="0.3">
      <c r="B19" s="38" t="s">
        <v>12</v>
      </c>
      <c r="C19" s="39">
        <f>B10</f>
        <v>51</v>
      </c>
    </row>
    <row r="20" spans="1:13" ht="18.75" x14ac:dyDescent="0.3">
      <c r="B20" s="38" t="s">
        <v>13</v>
      </c>
      <c r="C20" s="39">
        <f>C10</f>
        <v>51</v>
      </c>
    </row>
    <row r="21" spans="1:13" ht="18.75" x14ac:dyDescent="0.3">
      <c r="B21" s="38" t="s">
        <v>14</v>
      </c>
      <c r="C21" s="39">
        <f>D10</f>
        <v>50</v>
      </c>
    </row>
    <row r="22" spans="1:13" ht="18.75" x14ac:dyDescent="0.3">
      <c r="B22" s="38" t="s">
        <v>15</v>
      </c>
      <c r="C22" s="39">
        <f>E10</f>
        <v>44</v>
      </c>
    </row>
    <row r="23" spans="1:13" ht="18.75" x14ac:dyDescent="0.3">
      <c r="B23" s="38" t="s">
        <v>16</v>
      </c>
      <c r="C23" s="39">
        <f>F10</f>
        <v>44</v>
      </c>
    </row>
    <row r="24" spans="1:13" ht="18.75" x14ac:dyDescent="0.3">
      <c r="B24" s="38" t="s">
        <v>17</v>
      </c>
      <c r="C24" s="39">
        <f>G10</f>
        <v>6</v>
      </c>
    </row>
    <row r="25" spans="1:13" ht="18.75" x14ac:dyDescent="0.3">
      <c r="B25" s="38" t="s">
        <v>18</v>
      </c>
      <c r="C25" s="39">
        <f>H10</f>
        <v>1</v>
      </c>
    </row>
    <row r="28" spans="1:13" ht="15.75" thickBot="1" x14ac:dyDescent="0.3"/>
    <row r="29" spans="1:13" ht="29.25" thickBot="1" x14ac:dyDescent="0.35">
      <c r="A29" s="119" t="s">
        <v>86</v>
      </c>
      <c r="B29" s="120"/>
      <c r="C29" s="120"/>
      <c r="D29" s="120"/>
      <c r="E29" s="120"/>
      <c r="F29" s="121"/>
      <c r="L29" s="115"/>
      <c r="M29" s="115"/>
    </row>
    <row r="30" spans="1:13" ht="15.75" x14ac:dyDescent="0.25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17</v>
      </c>
      <c r="F30" s="2" t="s">
        <v>18</v>
      </c>
    </row>
    <row r="31" spans="1:13" ht="17.25" x14ac:dyDescent="0.3">
      <c r="A31" s="18" t="s">
        <v>20</v>
      </c>
      <c r="B31" s="15">
        <v>2</v>
      </c>
      <c r="C31" s="15">
        <v>2</v>
      </c>
      <c r="D31" s="16">
        <v>2</v>
      </c>
      <c r="E31" s="17">
        <v>0</v>
      </c>
      <c r="F31" s="16">
        <v>0</v>
      </c>
      <c r="G31" t="s">
        <v>75</v>
      </c>
    </row>
    <row r="32" spans="1:13" s="20" customFormat="1" ht="17.25" x14ac:dyDescent="0.3">
      <c r="A32" s="14" t="s">
        <v>87</v>
      </c>
      <c r="B32" s="16">
        <v>50</v>
      </c>
      <c r="C32" s="16">
        <v>50</v>
      </c>
      <c r="D32" s="16">
        <v>50</v>
      </c>
      <c r="E32" s="17">
        <v>0</v>
      </c>
      <c r="F32" s="19">
        <v>0</v>
      </c>
    </row>
    <row r="33" spans="1:7" s="20" customFormat="1" ht="30.75" x14ac:dyDescent="0.3">
      <c r="A33" s="21" t="s">
        <v>22</v>
      </c>
      <c r="B33" s="19">
        <v>0</v>
      </c>
      <c r="C33" s="16">
        <v>0</v>
      </c>
      <c r="D33" s="16">
        <v>0</v>
      </c>
      <c r="E33" s="17">
        <v>0</v>
      </c>
      <c r="F33" s="19">
        <v>2</v>
      </c>
    </row>
    <row r="34" spans="1:7" s="20" customFormat="1" ht="17.25" x14ac:dyDescent="0.3">
      <c r="A34" s="18" t="s">
        <v>85</v>
      </c>
      <c r="B34" s="19">
        <v>0</v>
      </c>
      <c r="C34" s="16">
        <v>0</v>
      </c>
      <c r="D34" s="16">
        <v>0</v>
      </c>
      <c r="E34" s="17">
        <v>48</v>
      </c>
      <c r="F34" s="19">
        <v>0</v>
      </c>
    </row>
    <row r="35" spans="1:7" s="20" customFormat="1" ht="17.25" x14ac:dyDescent="0.3">
      <c r="A35" s="18" t="s">
        <v>25</v>
      </c>
      <c r="B35" s="19">
        <v>0</v>
      </c>
      <c r="C35" s="16">
        <v>0</v>
      </c>
      <c r="D35" s="16">
        <v>0</v>
      </c>
      <c r="E35" s="16">
        <v>2</v>
      </c>
      <c r="F35" s="19">
        <v>0</v>
      </c>
    </row>
    <row r="36" spans="1:7" s="20" customFormat="1" x14ac:dyDescent="0.25">
      <c r="A36" s="24"/>
      <c r="B36" s="25"/>
      <c r="C36" s="25"/>
      <c r="D36" s="25"/>
      <c r="E36" s="25"/>
      <c r="F36" s="25"/>
    </row>
    <row r="37" spans="1:7" x14ac:dyDescent="0.25">
      <c r="A37" s="26"/>
      <c r="B37" s="27"/>
      <c r="C37" s="27"/>
      <c r="D37" s="27"/>
      <c r="E37" s="27"/>
      <c r="F37" s="28"/>
    </row>
    <row r="38" spans="1:7" s="31" customFormat="1" ht="17.25" x14ac:dyDescent="0.3">
      <c r="A38" s="29" t="s">
        <v>27</v>
      </c>
      <c r="B38" s="30">
        <f>SUM(B31:B35)</f>
        <v>52</v>
      </c>
      <c r="C38" s="30">
        <f t="shared" ref="C38:F38" si="2">SUM(C31:C35)</f>
        <v>52</v>
      </c>
      <c r="D38" s="30">
        <f t="shared" si="2"/>
        <v>52</v>
      </c>
      <c r="E38" s="30">
        <f t="shared" si="2"/>
        <v>50</v>
      </c>
      <c r="F38" s="30">
        <f t="shared" si="2"/>
        <v>2</v>
      </c>
    </row>
    <row r="39" spans="1:7" ht="17.25" x14ac:dyDescent="0.3">
      <c r="A39" s="32" t="s">
        <v>28</v>
      </c>
      <c r="B39" s="30">
        <v>70</v>
      </c>
      <c r="C39" s="30">
        <v>30</v>
      </c>
      <c r="D39" s="30">
        <v>40</v>
      </c>
      <c r="E39" s="30">
        <v>450</v>
      </c>
      <c r="F39" s="30">
        <v>850</v>
      </c>
    </row>
    <row r="40" spans="1:7" ht="17.25" x14ac:dyDescent="0.3">
      <c r="A40" s="32"/>
      <c r="B40" s="30"/>
      <c r="C40" s="30"/>
      <c r="D40" s="30"/>
      <c r="E40" s="30"/>
      <c r="F40" s="30"/>
    </row>
    <row r="41" spans="1:7" ht="15.75" thickBot="1" x14ac:dyDescent="0.3">
      <c r="A41" s="32"/>
      <c r="B41" s="33"/>
      <c r="C41" s="33"/>
      <c r="D41" s="33"/>
      <c r="E41" s="33"/>
      <c r="F41" s="33"/>
    </row>
    <row r="42" spans="1:7" ht="19.5" thickBot="1" x14ac:dyDescent="0.35">
      <c r="A42" s="32" t="s">
        <v>29</v>
      </c>
      <c r="B42" s="34">
        <f>B38*B39</f>
        <v>3640</v>
      </c>
      <c r="C42" s="34">
        <f t="shared" ref="C42:F42" si="3">C38*C39</f>
        <v>1560</v>
      </c>
      <c r="D42" s="34">
        <f t="shared" si="3"/>
        <v>2080</v>
      </c>
      <c r="E42" s="34">
        <f t="shared" si="3"/>
        <v>22500</v>
      </c>
      <c r="F42" s="34">
        <f t="shared" si="3"/>
        <v>1700</v>
      </c>
      <c r="G42" s="35">
        <f>SUM(B42:F42)</f>
        <v>31480</v>
      </c>
    </row>
    <row r="46" spans="1:7" ht="21" x14ac:dyDescent="0.35">
      <c r="A46" s="36" t="s">
        <v>30</v>
      </c>
      <c r="B46" s="37"/>
    </row>
    <row r="47" spans="1:7" ht="18.75" x14ac:dyDescent="0.3">
      <c r="B47" s="38" t="s">
        <v>12</v>
      </c>
      <c r="C47" s="39">
        <f>B38</f>
        <v>52</v>
      </c>
    </row>
    <row r="48" spans="1:7" ht="18.75" x14ac:dyDescent="0.3">
      <c r="B48" s="38" t="s">
        <v>13</v>
      </c>
      <c r="C48" s="39">
        <f>C38</f>
        <v>52</v>
      </c>
    </row>
    <row r="49" spans="1:13" ht="18.75" x14ac:dyDescent="0.3">
      <c r="B49" s="38" t="s">
        <v>14</v>
      </c>
      <c r="C49" s="39">
        <f>D38</f>
        <v>52</v>
      </c>
    </row>
    <row r="50" spans="1:13" ht="18.75" x14ac:dyDescent="0.3">
      <c r="B50" s="38" t="s">
        <v>17</v>
      </c>
      <c r="C50" s="39">
        <f>E38</f>
        <v>50</v>
      </c>
    </row>
    <row r="51" spans="1:13" ht="18.75" x14ac:dyDescent="0.3">
      <c r="B51" s="38" t="s">
        <v>18</v>
      </c>
      <c r="C51" s="39">
        <f>F38</f>
        <v>2</v>
      </c>
    </row>
    <row r="54" spans="1:13" ht="15.75" thickBot="1" x14ac:dyDescent="0.3"/>
    <row r="55" spans="1:13" ht="29.25" thickBot="1" x14ac:dyDescent="0.35">
      <c r="A55" s="119" t="s">
        <v>88</v>
      </c>
      <c r="B55" s="120"/>
      <c r="C55" s="120"/>
      <c r="D55" s="120"/>
      <c r="E55" s="120"/>
      <c r="F55" s="121"/>
      <c r="L55" s="115"/>
      <c r="M55" s="115"/>
    </row>
    <row r="56" spans="1:13" ht="15.75" x14ac:dyDescent="0.25">
      <c r="A56" s="2" t="s">
        <v>11</v>
      </c>
      <c r="B56" s="2" t="s">
        <v>12</v>
      </c>
      <c r="C56" s="2" t="s">
        <v>13</v>
      </c>
      <c r="D56" s="2" t="s">
        <v>14</v>
      </c>
      <c r="E56" s="2" t="s">
        <v>17</v>
      </c>
      <c r="F56" s="2" t="s">
        <v>18</v>
      </c>
    </row>
    <row r="57" spans="1:13" ht="17.25" x14ac:dyDescent="0.3">
      <c r="A57" s="14" t="s">
        <v>87</v>
      </c>
      <c r="B57" s="15">
        <v>50</v>
      </c>
      <c r="C57" s="15">
        <v>50</v>
      </c>
      <c r="D57" s="16">
        <v>50</v>
      </c>
      <c r="E57" s="17">
        <v>49</v>
      </c>
      <c r="F57" s="16">
        <v>0</v>
      </c>
      <c r="G57" t="s">
        <v>89</v>
      </c>
    </row>
    <row r="58" spans="1:13" s="20" customFormat="1" ht="30.75" x14ac:dyDescent="0.3">
      <c r="A58" s="21" t="s">
        <v>22</v>
      </c>
      <c r="B58" s="16">
        <v>0</v>
      </c>
      <c r="C58" s="16">
        <v>0</v>
      </c>
      <c r="D58" s="16">
        <v>0</v>
      </c>
      <c r="E58" s="17">
        <v>0</v>
      </c>
      <c r="F58" s="19">
        <v>1</v>
      </c>
    </row>
    <row r="59" spans="1:13" s="20" customFormat="1" x14ac:dyDescent="0.25">
      <c r="A59" s="24"/>
      <c r="B59" s="25"/>
      <c r="C59" s="25"/>
      <c r="D59" s="25"/>
      <c r="E59" s="25"/>
      <c r="F59" s="25"/>
    </row>
    <row r="60" spans="1:13" x14ac:dyDescent="0.25">
      <c r="A60" s="26"/>
      <c r="B60" s="27"/>
      <c r="C60" s="27"/>
      <c r="D60" s="27"/>
      <c r="E60" s="27"/>
      <c r="F60" s="28"/>
    </row>
    <row r="61" spans="1:13" s="31" customFormat="1" ht="17.25" x14ac:dyDescent="0.3">
      <c r="A61" s="29" t="s">
        <v>27</v>
      </c>
      <c r="B61" s="30">
        <f>SUM(B57:B58)</f>
        <v>50</v>
      </c>
      <c r="C61" s="30">
        <f>SUM(C57:C58)</f>
        <v>50</v>
      </c>
      <c r="D61" s="30">
        <f>SUM(D57:D58)</f>
        <v>50</v>
      </c>
      <c r="E61" s="30">
        <f>SUM(E57:E58)</f>
        <v>49</v>
      </c>
      <c r="F61" s="30">
        <f>SUM(F57:F58)</f>
        <v>1</v>
      </c>
    </row>
    <row r="62" spans="1:13" ht="17.25" x14ac:dyDescent="0.3">
      <c r="A62" s="32" t="s">
        <v>28</v>
      </c>
      <c r="B62" s="30">
        <v>70</v>
      </c>
      <c r="C62" s="30">
        <v>30</v>
      </c>
      <c r="D62" s="30">
        <v>40</v>
      </c>
      <c r="E62" s="30">
        <v>550</v>
      </c>
      <c r="F62" s="30">
        <v>850</v>
      </c>
    </row>
    <row r="63" spans="1:13" ht="17.25" x14ac:dyDescent="0.3">
      <c r="A63" s="32"/>
      <c r="B63" s="30"/>
      <c r="C63" s="30"/>
      <c r="D63" s="30"/>
      <c r="E63" s="30"/>
      <c r="F63" s="30"/>
    </row>
    <row r="64" spans="1:13" ht="15.75" thickBot="1" x14ac:dyDescent="0.3">
      <c r="A64" s="32"/>
      <c r="B64" s="33"/>
      <c r="C64" s="33"/>
      <c r="D64" s="33"/>
      <c r="E64" s="33"/>
      <c r="F64" s="33"/>
    </row>
    <row r="65" spans="1:7" ht="19.5" thickBot="1" x14ac:dyDescent="0.35">
      <c r="A65" s="32" t="s">
        <v>29</v>
      </c>
      <c r="B65" s="34">
        <f>B61*B62</f>
        <v>3500</v>
      </c>
      <c r="C65" s="34">
        <f t="shared" ref="C65:F65" si="4">C61*C62</f>
        <v>1500</v>
      </c>
      <c r="D65" s="34">
        <f t="shared" si="4"/>
        <v>2000</v>
      </c>
      <c r="E65" s="34">
        <f t="shared" si="4"/>
        <v>26950</v>
      </c>
      <c r="F65" s="34">
        <f t="shared" si="4"/>
        <v>850</v>
      </c>
      <c r="G65" s="35">
        <f>SUM(B65:F65)</f>
        <v>34800</v>
      </c>
    </row>
    <row r="69" spans="1:7" ht="21" x14ac:dyDescent="0.35">
      <c r="A69" s="36" t="s">
        <v>30</v>
      </c>
      <c r="B69" s="37"/>
    </row>
    <row r="70" spans="1:7" ht="18.75" x14ac:dyDescent="0.3">
      <c r="B70" s="38" t="s">
        <v>12</v>
      </c>
      <c r="C70" s="39">
        <f>B61</f>
        <v>50</v>
      </c>
    </row>
    <row r="71" spans="1:7" ht="18.75" x14ac:dyDescent="0.3">
      <c r="B71" s="38" t="s">
        <v>13</v>
      </c>
      <c r="C71" s="39">
        <f>C61</f>
        <v>50</v>
      </c>
    </row>
    <row r="72" spans="1:7" ht="18.75" x14ac:dyDescent="0.3">
      <c r="B72" s="38" t="s">
        <v>14</v>
      </c>
      <c r="C72" s="39">
        <f>D61</f>
        <v>50</v>
      </c>
    </row>
    <row r="73" spans="1:7" ht="18.75" x14ac:dyDescent="0.3">
      <c r="B73" s="38" t="s">
        <v>17</v>
      </c>
      <c r="C73" s="39">
        <f>E61</f>
        <v>49</v>
      </c>
    </row>
    <row r="74" spans="1:7" ht="18.75" x14ac:dyDescent="0.3">
      <c r="B74" s="38" t="s">
        <v>18</v>
      </c>
      <c r="C74" s="39">
        <f>F61</f>
        <v>1</v>
      </c>
    </row>
  </sheetData>
  <mergeCells count="6">
    <mergeCell ref="A1:H1"/>
    <mergeCell ref="M1:O1"/>
    <mergeCell ref="A29:F29"/>
    <mergeCell ref="L29:M29"/>
    <mergeCell ref="A55:F55"/>
    <mergeCell ref="L55:M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Views>
    <sheetView topLeftCell="A79" workbookViewId="0">
      <selection activeCell="AC14" sqref="AC14"/>
    </sheetView>
  </sheetViews>
  <sheetFormatPr defaultRowHeight="15" x14ac:dyDescent="0.25"/>
  <cols>
    <col min="1" max="1" width="9" style="75" bestFit="1" customWidth="1"/>
    <col min="2" max="2" width="21.5703125" style="75" bestFit="1" customWidth="1"/>
    <col min="3" max="3" width="11.28515625" style="75" bestFit="1" customWidth="1"/>
    <col min="4" max="4" width="11.28515625" style="76" bestFit="1" customWidth="1"/>
    <col min="5" max="20" width="3" bestFit="1" customWidth="1"/>
    <col min="21" max="21" width="5.85546875" bestFit="1" customWidth="1"/>
  </cols>
  <sheetData>
    <row r="1" spans="1:21" ht="30" x14ac:dyDescent="0.25">
      <c r="A1" s="64" t="s">
        <v>90</v>
      </c>
      <c r="B1" s="65" t="s">
        <v>91</v>
      </c>
      <c r="C1" s="66" t="s">
        <v>92</v>
      </c>
      <c r="D1" s="67" t="s">
        <v>93</v>
      </c>
      <c r="E1" s="68" t="s">
        <v>69</v>
      </c>
      <c r="F1" s="68" t="s">
        <v>70</v>
      </c>
      <c r="G1" s="68" t="s">
        <v>71</v>
      </c>
      <c r="H1" s="68" t="s">
        <v>72</v>
      </c>
      <c r="I1" s="68">
        <v>38</v>
      </c>
      <c r="J1" s="68">
        <v>40</v>
      </c>
      <c r="K1" s="68">
        <v>42</v>
      </c>
      <c r="L1" s="68">
        <v>44</v>
      </c>
      <c r="M1" s="68">
        <v>46</v>
      </c>
      <c r="N1" s="68">
        <v>48</v>
      </c>
      <c r="O1" s="68">
        <v>50</v>
      </c>
      <c r="P1" s="68">
        <v>52</v>
      </c>
      <c r="Q1" s="68">
        <v>54</v>
      </c>
      <c r="R1" s="68">
        <v>56</v>
      </c>
      <c r="S1" s="68">
        <v>58</v>
      </c>
      <c r="T1" s="68">
        <v>60</v>
      </c>
      <c r="U1" s="68" t="s">
        <v>94</v>
      </c>
    </row>
    <row r="2" spans="1:21" ht="38.25" customHeight="1" x14ac:dyDescent="0.25">
      <c r="A2" s="69">
        <v>46076</v>
      </c>
      <c r="B2" s="70" t="s">
        <v>95</v>
      </c>
      <c r="C2" s="70" t="s">
        <v>96</v>
      </c>
      <c r="D2" s="71" t="s">
        <v>97</v>
      </c>
      <c r="E2" s="72">
        <v>24</v>
      </c>
      <c r="F2" s="72">
        <v>53</v>
      </c>
      <c r="G2" s="72">
        <v>52</v>
      </c>
      <c r="H2" s="72">
        <v>23</v>
      </c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>
        <f>SUM(E2:P2)</f>
        <v>152</v>
      </c>
    </row>
    <row r="3" spans="1:21" ht="19.899999999999999" customHeight="1" x14ac:dyDescent="0.25">
      <c r="A3" s="69">
        <v>46077</v>
      </c>
      <c r="B3" s="70" t="s">
        <v>98</v>
      </c>
      <c r="C3" s="70" t="s">
        <v>99</v>
      </c>
      <c r="D3" s="71" t="s">
        <v>97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>
        <v>2</v>
      </c>
      <c r="P3" s="72">
        <v>3</v>
      </c>
      <c r="Q3" s="72">
        <v>2</v>
      </c>
      <c r="R3" s="72">
        <v>1</v>
      </c>
      <c r="S3" s="72"/>
      <c r="T3" s="72"/>
      <c r="U3" s="72">
        <f t="shared" ref="U3:U66" si="0">SUM(E3:T3)</f>
        <v>8</v>
      </c>
    </row>
    <row r="4" spans="1:21" ht="19.899999999999999" customHeight="1" x14ac:dyDescent="0.25">
      <c r="A4" s="69">
        <v>46077</v>
      </c>
      <c r="B4" s="70" t="s">
        <v>98</v>
      </c>
      <c r="C4" s="70" t="s">
        <v>100</v>
      </c>
      <c r="D4" s="71" t="s">
        <v>97</v>
      </c>
      <c r="E4" s="72"/>
      <c r="F4" s="72"/>
      <c r="G4" s="72"/>
      <c r="H4" s="72"/>
      <c r="I4" s="72"/>
      <c r="J4" s="72"/>
      <c r="K4" s="72"/>
      <c r="L4" s="72"/>
      <c r="M4" s="72"/>
      <c r="N4" s="72">
        <v>2</v>
      </c>
      <c r="O4" s="72">
        <v>2</v>
      </c>
      <c r="P4" s="72">
        <v>2</v>
      </c>
      <c r="Q4" s="72">
        <v>2</v>
      </c>
      <c r="R4" s="72">
        <v>2</v>
      </c>
      <c r="S4" s="72"/>
      <c r="T4" s="72"/>
      <c r="U4" s="72">
        <f t="shared" si="0"/>
        <v>10</v>
      </c>
    </row>
    <row r="5" spans="1:21" ht="19.899999999999999" customHeight="1" x14ac:dyDescent="0.25">
      <c r="A5" s="69">
        <v>46077</v>
      </c>
      <c r="B5" s="70" t="s">
        <v>98</v>
      </c>
      <c r="C5" s="70" t="s">
        <v>101</v>
      </c>
      <c r="D5" s="71" t="s">
        <v>97</v>
      </c>
      <c r="E5" s="72"/>
      <c r="F5" s="72"/>
      <c r="G5" s="72"/>
      <c r="H5" s="72"/>
      <c r="I5" s="72"/>
      <c r="J5" s="72"/>
      <c r="K5" s="72"/>
      <c r="L5" s="72"/>
      <c r="M5" s="72">
        <v>3</v>
      </c>
      <c r="N5" s="72">
        <v>7</v>
      </c>
      <c r="O5" s="72">
        <v>10</v>
      </c>
      <c r="P5" s="72">
        <v>10</v>
      </c>
      <c r="Q5" s="72">
        <v>6</v>
      </c>
      <c r="R5" s="72">
        <v>3</v>
      </c>
      <c r="S5" s="72"/>
      <c r="T5" s="72"/>
      <c r="U5" s="72">
        <f t="shared" si="0"/>
        <v>39</v>
      </c>
    </row>
    <row r="6" spans="1:21" ht="19.899999999999999" customHeight="1" x14ac:dyDescent="0.25">
      <c r="A6" s="69">
        <v>46077</v>
      </c>
      <c r="B6" s="70" t="s">
        <v>102</v>
      </c>
      <c r="C6" s="70" t="s">
        <v>100</v>
      </c>
      <c r="D6" s="71" t="s">
        <v>97</v>
      </c>
      <c r="E6" s="72"/>
      <c r="F6" s="72"/>
      <c r="G6" s="72"/>
      <c r="H6" s="72"/>
      <c r="I6" s="72"/>
      <c r="J6" s="72"/>
      <c r="K6" s="72"/>
      <c r="L6" s="72"/>
      <c r="M6" s="72"/>
      <c r="N6" s="72">
        <v>4</v>
      </c>
      <c r="O6" s="72">
        <v>8</v>
      </c>
      <c r="P6" s="72">
        <v>9</v>
      </c>
      <c r="Q6" s="72">
        <v>5</v>
      </c>
      <c r="R6" s="72">
        <v>4</v>
      </c>
      <c r="S6" s="72"/>
      <c r="T6" s="72"/>
      <c r="U6" s="72">
        <f t="shared" si="0"/>
        <v>30</v>
      </c>
    </row>
    <row r="7" spans="1:21" ht="19.899999999999999" customHeight="1" x14ac:dyDescent="0.25">
      <c r="A7" s="69">
        <v>46077</v>
      </c>
      <c r="B7" s="70" t="s">
        <v>102</v>
      </c>
      <c r="C7" s="70" t="s">
        <v>101</v>
      </c>
      <c r="D7" s="71" t="s">
        <v>97</v>
      </c>
      <c r="E7" s="72"/>
      <c r="F7" s="72"/>
      <c r="G7" s="72"/>
      <c r="H7" s="72"/>
      <c r="I7" s="72"/>
      <c r="J7" s="72"/>
      <c r="K7" s="72"/>
      <c r="L7" s="72"/>
      <c r="M7" s="72"/>
      <c r="N7" s="72">
        <v>9</v>
      </c>
      <c r="O7" s="72">
        <v>18</v>
      </c>
      <c r="P7" s="72">
        <v>16</v>
      </c>
      <c r="Q7" s="72">
        <v>14</v>
      </c>
      <c r="R7" s="72">
        <v>8</v>
      </c>
      <c r="S7" s="72">
        <v>1</v>
      </c>
      <c r="T7" s="72"/>
      <c r="U7" s="72">
        <f t="shared" si="0"/>
        <v>66</v>
      </c>
    </row>
    <row r="8" spans="1:21" ht="19.899999999999999" customHeight="1" x14ac:dyDescent="0.25">
      <c r="A8" s="69">
        <v>46077</v>
      </c>
      <c r="B8" s="70" t="s">
        <v>103</v>
      </c>
      <c r="C8" s="70" t="s">
        <v>100</v>
      </c>
      <c r="D8" s="71" t="s">
        <v>97</v>
      </c>
      <c r="E8" s="72"/>
      <c r="F8" s="72"/>
      <c r="G8" s="72"/>
      <c r="H8" s="72"/>
      <c r="I8" s="72"/>
      <c r="J8" s="72"/>
      <c r="K8" s="72"/>
      <c r="L8" s="72"/>
      <c r="M8" s="72"/>
      <c r="N8" s="72">
        <v>5</v>
      </c>
      <c r="O8" s="72">
        <v>5</v>
      </c>
      <c r="P8" s="72">
        <v>5</v>
      </c>
      <c r="Q8" s="72">
        <v>5</v>
      </c>
      <c r="R8" s="72">
        <v>2</v>
      </c>
      <c r="S8" s="72"/>
      <c r="T8" s="72"/>
      <c r="U8" s="72">
        <f t="shared" si="0"/>
        <v>22</v>
      </c>
    </row>
    <row r="9" spans="1:21" ht="19.899999999999999" customHeight="1" x14ac:dyDescent="0.25">
      <c r="A9" s="69">
        <v>46077</v>
      </c>
      <c r="B9" s="70" t="s">
        <v>103</v>
      </c>
      <c r="C9" s="70" t="s">
        <v>96</v>
      </c>
      <c r="D9" s="71" t="s">
        <v>97</v>
      </c>
      <c r="E9" s="72"/>
      <c r="F9" s="72"/>
      <c r="G9" s="72"/>
      <c r="H9" s="72"/>
      <c r="I9" s="72"/>
      <c r="J9" s="72"/>
      <c r="K9" s="72"/>
      <c r="L9" s="72"/>
      <c r="M9" s="72">
        <v>1</v>
      </c>
      <c r="N9" s="72">
        <v>1</v>
      </c>
      <c r="O9" s="72">
        <v>2</v>
      </c>
      <c r="P9" s="72">
        <v>2</v>
      </c>
      <c r="Q9" s="72">
        <v>1</v>
      </c>
      <c r="R9" s="72"/>
      <c r="S9" s="72"/>
      <c r="T9" s="72"/>
      <c r="U9" s="72">
        <f t="shared" si="0"/>
        <v>7</v>
      </c>
    </row>
    <row r="10" spans="1:21" ht="19.899999999999999" customHeight="1" x14ac:dyDescent="0.25">
      <c r="A10" s="69">
        <v>46077</v>
      </c>
      <c r="B10" s="70" t="s">
        <v>103</v>
      </c>
      <c r="C10" s="70" t="s">
        <v>100</v>
      </c>
      <c r="D10" s="71" t="s">
        <v>97</v>
      </c>
      <c r="E10" s="72"/>
      <c r="F10" s="72"/>
      <c r="G10" s="72"/>
      <c r="H10" s="72"/>
      <c r="I10" s="72"/>
      <c r="J10" s="72"/>
      <c r="K10" s="72"/>
      <c r="L10" s="72"/>
      <c r="M10" s="72"/>
      <c r="N10" s="72">
        <v>1</v>
      </c>
      <c r="O10" s="72">
        <v>1</v>
      </c>
      <c r="P10" s="72">
        <v>1</v>
      </c>
      <c r="Q10" s="72"/>
      <c r="R10" s="72"/>
      <c r="S10" s="72"/>
      <c r="T10" s="72"/>
      <c r="U10" s="72">
        <f t="shared" si="0"/>
        <v>3</v>
      </c>
    </row>
    <row r="11" spans="1:21" ht="19.899999999999999" customHeight="1" x14ac:dyDescent="0.25">
      <c r="A11" s="69">
        <v>46077</v>
      </c>
      <c r="B11" s="70" t="s">
        <v>104</v>
      </c>
      <c r="C11" s="70" t="s">
        <v>100</v>
      </c>
      <c r="D11" s="71" t="s">
        <v>97</v>
      </c>
      <c r="E11" s="72"/>
      <c r="F11" s="72"/>
      <c r="G11" s="72"/>
      <c r="H11" s="72"/>
      <c r="I11" s="72"/>
      <c r="J11" s="72"/>
      <c r="K11" s="72"/>
      <c r="L11" s="72"/>
      <c r="M11" s="72">
        <v>1</v>
      </c>
      <c r="N11" s="72">
        <v>8</v>
      </c>
      <c r="O11" s="72">
        <v>15</v>
      </c>
      <c r="P11" s="72">
        <v>15</v>
      </c>
      <c r="Q11" s="72">
        <v>14</v>
      </c>
      <c r="R11" s="72">
        <v>5</v>
      </c>
      <c r="S11" s="72">
        <v>1</v>
      </c>
      <c r="T11" s="72"/>
      <c r="U11" s="72">
        <f t="shared" si="0"/>
        <v>59</v>
      </c>
    </row>
    <row r="12" spans="1:21" ht="19.899999999999999" customHeight="1" x14ac:dyDescent="0.25">
      <c r="A12" s="69">
        <v>46077</v>
      </c>
      <c r="B12" s="70" t="s">
        <v>104</v>
      </c>
      <c r="C12" s="70" t="s">
        <v>96</v>
      </c>
      <c r="D12" s="71" t="s">
        <v>97</v>
      </c>
      <c r="E12" s="72"/>
      <c r="F12" s="72"/>
      <c r="G12" s="72"/>
      <c r="H12" s="72"/>
      <c r="I12" s="72"/>
      <c r="J12" s="72"/>
      <c r="K12" s="72"/>
      <c r="L12" s="72"/>
      <c r="M12" s="72">
        <v>1</v>
      </c>
      <c r="N12" s="72">
        <v>2</v>
      </c>
      <c r="O12" s="72">
        <v>2</v>
      </c>
      <c r="P12" s="72">
        <v>2</v>
      </c>
      <c r="Q12" s="72">
        <v>2</v>
      </c>
      <c r="R12" s="72">
        <v>1</v>
      </c>
      <c r="S12" s="72"/>
      <c r="T12" s="72"/>
      <c r="U12" s="72">
        <f t="shared" si="0"/>
        <v>10</v>
      </c>
    </row>
    <row r="13" spans="1:21" ht="19.899999999999999" customHeight="1" x14ac:dyDescent="0.25">
      <c r="A13" s="69">
        <v>46077</v>
      </c>
      <c r="B13" s="70" t="s">
        <v>105</v>
      </c>
      <c r="C13" s="70" t="s">
        <v>100</v>
      </c>
      <c r="D13" s="71" t="s">
        <v>97</v>
      </c>
      <c r="E13" s="72"/>
      <c r="F13" s="72"/>
      <c r="G13" s="72"/>
      <c r="H13" s="72"/>
      <c r="I13" s="72"/>
      <c r="J13" s="72"/>
      <c r="K13" s="72"/>
      <c r="L13" s="72"/>
      <c r="M13" s="72">
        <v>1</v>
      </c>
      <c r="N13" s="72">
        <v>3</v>
      </c>
      <c r="O13" s="72">
        <v>6</v>
      </c>
      <c r="P13" s="72">
        <v>6</v>
      </c>
      <c r="Q13" s="72">
        <v>6</v>
      </c>
      <c r="R13" s="72">
        <v>2</v>
      </c>
      <c r="S13" s="72"/>
      <c r="T13" s="72"/>
      <c r="U13" s="72">
        <f t="shared" si="0"/>
        <v>24</v>
      </c>
    </row>
    <row r="14" spans="1:21" ht="19.899999999999999" customHeight="1" x14ac:dyDescent="0.25">
      <c r="A14" s="69">
        <v>46077</v>
      </c>
      <c r="B14" s="70" t="s">
        <v>105</v>
      </c>
      <c r="C14" s="70" t="s">
        <v>106</v>
      </c>
      <c r="D14" s="71" t="s">
        <v>97</v>
      </c>
      <c r="E14" s="72"/>
      <c r="F14" s="72"/>
      <c r="G14" s="72"/>
      <c r="H14" s="72"/>
      <c r="I14" s="72"/>
      <c r="J14" s="72"/>
      <c r="K14" s="72"/>
      <c r="L14" s="72"/>
      <c r="M14" s="72"/>
      <c r="N14" s="72">
        <v>3</v>
      </c>
      <c r="O14" s="72">
        <v>4</v>
      </c>
      <c r="P14" s="72">
        <v>4</v>
      </c>
      <c r="Q14" s="72">
        <v>1</v>
      </c>
      <c r="R14" s="72"/>
      <c r="S14" s="72"/>
      <c r="T14" s="72"/>
      <c r="U14" s="72">
        <f t="shared" si="0"/>
        <v>12</v>
      </c>
    </row>
    <row r="15" spans="1:21" ht="19.899999999999999" customHeight="1" x14ac:dyDescent="0.25">
      <c r="A15" s="69">
        <v>46077</v>
      </c>
      <c r="B15" s="70" t="s">
        <v>105</v>
      </c>
      <c r="C15" s="70" t="s">
        <v>100</v>
      </c>
      <c r="D15" s="71" t="s">
        <v>97</v>
      </c>
      <c r="E15" s="72"/>
      <c r="F15" s="72"/>
      <c r="G15" s="72"/>
      <c r="H15" s="72"/>
      <c r="I15" s="72"/>
      <c r="J15" s="72"/>
      <c r="K15" s="72"/>
      <c r="L15" s="72"/>
      <c r="M15" s="72"/>
      <c r="N15" s="72">
        <v>7</v>
      </c>
      <c r="O15" s="72">
        <v>12</v>
      </c>
      <c r="P15" s="72">
        <v>12</v>
      </c>
      <c r="Q15" s="72">
        <v>12</v>
      </c>
      <c r="R15" s="72">
        <v>4</v>
      </c>
      <c r="S15" s="72">
        <v>2</v>
      </c>
      <c r="T15" s="72"/>
      <c r="U15" s="72">
        <f t="shared" si="0"/>
        <v>49</v>
      </c>
    </row>
    <row r="16" spans="1:21" ht="19.899999999999999" customHeight="1" x14ac:dyDescent="0.25">
      <c r="A16" s="69">
        <v>46077</v>
      </c>
      <c r="B16" s="70" t="s">
        <v>105</v>
      </c>
      <c r="C16" s="70" t="s">
        <v>96</v>
      </c>
      <c r="D16" s="71" t="s">
        <v>97</v>
      </c>
      <c r="E16" s="72"/>
      <c r="F16" s="72"/>
      <c r="G16" s="72"/>
      <c r="H16" s="72"/>
      <c r="I16" s="72"/>
      <c r="J16" s="72"/>
      <c r="K16" s="72"/>
      <c r="L16" s="72"/>
      <c r="M16" s="72">
        <v>1</v>
      </c>
      <c r="N16" s="72">
        <v>9</v>
      </c>
      <c r="O16" s="72">
        <v>12</v>
      </c>
      <c r="P16" s="72">
        <v>11</v>
      </c>
      <c r="Q16" s="72">
        <v>10</v>
      </c>
      <c r="R16" s="72">
        <v>4</v>
      </c>
      <c r="S16" s="72">
        <v>2</v>
      </c>
      <c r="T16" s="72">
        <v>1</v>
      </c>
      <c r="U16" s="72">
        <f t="shared" si="0"/>
        <v>50</v>
      </c>
    </row>
    <row r="17" spans="1:21" ht="19.899999999999999" customHeight="1" x14ac:dyDescent="0.25">
      <c r="A17" s="69">
        <v>46077</v>
      </c>
      <c r="B17" s="70" t="s">
        <v>107</v>
      </c>
      <c r="C17" s="70" t="s">
        <v>100</v>
      </c>
      <c r="D17" s="71" t="s">
        <v>97</v>
      </c>
      <c r="E17" s="72"/>
      <c r="F17" s="72"/>
      <c r="G17" s="72"/>
      <c r="H17" s="72"/>
      <c r="I17" s="72"/>
      <c r="J17" s="72"/>
      <c r="K17" s="72"/>
      <c r="L17" s="72"/>
      <c r="M17" s="72"/>
      <c r="N17" s="72">
        <v>1</v>
      </c>
      <c r="O17" s="72">
        <v>1</v>
      </c>
      <c r="P17" s="72">
        <v>1</v>
      </c>
      <c r="Q17" s="72"/>
      <c r="R17" s="72"/>
      <c r="S17" s="72"/>
      <c r="T17" s="72"/>
      <c r="U17" s="72">
        <f t="shared" si="0"/>
        <v>3</v>
      </c>
    </row>
    <row r="18" spans="1:21" ht="19.899999999999999" customHeight="1" x14ac:dyDescent="0.25">
      <c r="A18" s="69">
        <v>46077</v>
      </c>
      <c r="B18" s="70" t="s">
        <v>107</v>
      </c>
      <c r="C18" s="70" t="s">
        <v>106</v>
      </c>
      <c r="D18" s="71" t="s">
        <v>97</v>
      </c>
      <c r="E18" s="72"/>
      <c r="F18" s="72"/>
      <c r="G18" s="72"/>
      <c r="H18" s="72"/>
      <c r="I18" s="72"/>
      <c r="J18" s="72"/>
      <c r="K18" s="72"/>
      <c r="L18" s="72"/>
      <c r="M18" s="72"/>
      <c r="N18" s="72">
        <v>2</v>
      </c>
      <c r="O18" s="72">
        <v>2</v>
      </c>
      <c r="P18" s="72">
        <v>2</v>
      </c>
      <c r="Q18" s="72">
        <v>1</v>
      </c>
      <c r="R18" s="72"/>
      <c r="S18" s="72"/>
      <c r="T18" s="72"/>
      <c r="U18" s="72">
        <f t="shared" si="0"/>
        <v>7</v>
      </c>
    </row>
    <row r="19" spans="1:21" ht="19.899999999999999" customHeight="1" x14ac:dyDescent="0.25">
      <c r="A19" s="69">
        <v>46077</v>
      </c>
      <c r="B19" s="70" t="s">
        <v>107</v>
      </c>
      <c r="C19" s="70" t="s">
        <v>100</v>
      </c>
      <c r="D19" s="71" t="s">
        <v>97</v>
      </c>
      <c r="E19" s="72"/>
      <c r="F19" s="72"/>
      <c r="G19" s="72"/>
      <c r="H19" s="72"/>
      <c r="I19" s="72"/>
      <c r="J19" s="72"/>
      <c r="K19" s="72"/>
      <c r="L19" s="72"/>
      <c r="M19" s="72"/>
      <c r="N19" s="72">
        <v>4</v>
      </c>
      <c r="O19" s="72">
        <v>6</v>
      </c>
      <c r="P19" s="72">
        <v>6</v>
      </c>
      <c r="Q19" s="72">
        <v>5</v>
      </c>
      <c r="R19" s="72">
        <v>3</v>
      </c>
      <c r="S19" s="72">
        <v>1</v>
      </c>
      <c r="T19" s="72">
        <v>1</v>
      </c>
      <c r="U19" s="72">
        <f t="shared" si="0"/>
        <v>26</v>
      </c>
    </row>
    <row r="20" spans="1:21" ht="19.899999999999999" customHeight="1" x14ac:dyDescent="0.25">
      <c r="A20" s="69">
        <v>46077</v>
      </c>
      <c r="B20" s="70" t="s">
        <v>107</v>
      </c>
      <c r="C20" s="70" t="s">
        <v>96</v>
      </c>
      <c r="D20" s="71" t="s">
        <v>97</v>
      </c>
      <c r="E20" s="72"/>
      <c r="F20" s="72"/>
      <c r="G20" s="72"/>
      <c r="H20" s="72"/>
      <c r="I20" s="72"/>
      <c r="J20" s="72"/>
      <c r="K20" s="72"/>
      <c r="L20" s="72"/>
      <c r="M20" s="72"/>
      <c r="N20" s="72">
        <v>6</v>
      </c>
      <c r="O20" s="72">
        <v>9</v>
      </c>
      <c r="P20" s="72">
        <v>11</v>
      </c>
      <c r="Q20" s="72">
        <v>9</v>
      </c>
      <c r="R20" s="72">
        <v>5</v>
      </c>
      <c r="S20" s="72">
        <v>2</v>
      </c>
      <c r="T20" s="72">
        <v>1</v>
      </c>
      <c r="U20" s="72">
        <f t="shared" si="0"/>
        <v>43</v>
      </c>
    </row>
    <row r="21" spans="1:21" ht="19.899999999999999" customHeight="1" x14ac:dyDescent="0.25">
      <c r="A21" s="69">
        <v>46077</v>
      </c>
      <c r="B21" s="70" t="s">
        <v>108</v>
      </c>
      <c r="C21" s="70" t="s">
        <v>100</v>
      </c>
      <c r="D21" s="71" t="s">
        <v>97</v>
      </c>
      <c r="E21" s="72"/>
      <c r="F21" s="72"/>
      <c r="G21" s="72"/>
      <c r="H21" s="72"/>
      <c r="I21" s="72"/>
      <c r="J21" s="72"/>
      <c r="K21" s="72"/>
      <c r="L21" s="72"/>
      <c r="M21" s="72"/>
      <c r="N21" s="72">
        <v>1</v>
      </c>
      <c r="O21" s="72">
        <v>1</v>
      </c>
      <c r="P21" s="72">
        <v>1</v>
      </c>
      <c r="Q21" s="72">
        <v>1</v>
      </c>
      <c r="R21" s="72"/>
      <c r="S21" s="72"/>
      <c r="T21" s="72"/>
      <c r="U21" s="72">
        <f t="shared" si="0"/>
        <v>4</v>
      </c>
    </row>
    <row r="22" spans="1:21" ht="19.899999999999999" customHeight="1" x14ac:dyDescent="0.25">
      <c r="A22" s="69">
        <v>46077</v>
      </c>
      <c r="B22" s="70" t="s">
        <v>108</v>
      </c>
      <c r="C22" s="70" t="s">
        <v>106</v>
      </c>
      <c r="D22" s="71" t="s">
        <v>97</v>
      </c>
      <c r="E22" s="72"/>
      <c r="F22" s="72"/>
      <c r="G22" s="72"/>
      <c r="H22" s="72"/>
      <c r="I22" s="72"/>
      <c r="J22" s="72"/>
      <c r="K22" s="72"/>
      <c r="L22" s="72"/>
      <c r="M22" s="72"/>
      <c r="N22" s="72">
        <v>1</v>
      </c>
      <c r="O22" s="72">
        <v>1</v>
      </c>
      <c r="P22" s="72">
        <v>1</v>
      </c>
      <c r="Q22" s="72">
        <v>1</v>
      </c>
      <c r="R22" s="72"/>
      <c r="S22" s="72"/>
      <c r="T22" s="72"/>
      <c r="U22" s="72">
        <f t="shared" si="0"/>
        <v>4</v>
      </c>
    </row>
    <row r="23" spans="1:21" ht="19.899999999999999" customHeight="1" x14ac:dyDescent="0.25">
      <c r="A23" s="69">
        <v>46077</v>
      </c>
      <c r="B23" s="70" t="s">
        <v>108</v>
      </c>
      <c r="C23" s="70" t="s">
        <v>100</v>
      </c>
      <c r="D23" s="71" t="s">
        <v>97</v>
      </c>
      <c r="E23" s="72"/>
      <c r="F23" s="72"/>
      <c r="G23" s="72"/>
      <c r="H23" s="72"/>
      <c r="I23" s="72"/>
      <c r="J23" s="72"/>
      <c r="K23" s="72"/>
      <c r="L23" s="72"/>
      <c r="M23" s="72">
        <v>1</v>
      </c>
      <c r="N23" s="72">
        <v>1</v>
      </c>
      <c r="O23" s="72">
        <v>1</v>
      </c>
      <c r="P23" s="72">
        <v>1</v>
      </c>
      <c r="Q23" s="72">
        <v>1</v>
      </c>
      <c r="R23" s="72"/>
      <c r="S23" s="72"/>
      <c r="T23" s="72"/>
      <c r="U23" s="72">
        <f t="shared" si="0"/>
        <v>5</v>
      </c>
    </row>
    <row r="24" spans="1:21" ht="19.899999999999999" customHeight="1" x14ac:dyDescent="0.25">
      <c r="A24" s="69">
        <v>46077</v>
      </c>
      <c r="B24" s="70" t="s">
        <v>109</v>
      </c>
      <c r="C24" s="70" t="s">
        <v>100</v>
      </c>
      <c r="D24" s="71" t="s">
        <v>97</v>
      </c>
      <c r="E24" s="72"/>
      <c r="F24" s="72"/>
      <c r="G24" s="72"/>
      <c r="H24" s="72"/>
      <c r="I24" s="72"/>
      <c r="J24" s="72"/>
      <c r="K24" s="72"/>
      <c r="L24" s="72"/>
      <c r="M24" s="72"/>
      <c r="N24" s="72">
        <v>17</v>
      </c>
      <c r="O24" s="72">
        <v>25</v>
      </c>
      <c r="P24" s="72">
        <v>24</v>
      </c>
      <c r="Q24" s="72">
        <v>20</v>
      </c>
      <c r="R24" s="72">
        <v>10</v>
      </c>
      <c r="S24" s="72">
        <v>1</v>
      </c>
      <c r="T24" s="72"/>
      <c r="U24" s="72">
        <f t="shared" si="0"/>
        <v>97</v>
      </c>
    </row>
    <row r="25" spans="1:21" ht="19.899999999999999" customHeight="1" x14ac:dyDescent="0.25">
      <c r="A25" s="69">
        <v>46077</v>
      </c>
      <c r="B25" s="70" t="s">
        <v>109</v>
      </c>
      <c r="C25" s="70" t="s">
        <v>100</v>
      </c>
      <c r="D25" s="71" t="s">
        <v>97</v>
      </c>
      <c r="E25" s="72"/>
      <c r="F25" s="72"/>
      <c r="G25" s="72"/>
      <c r="H25" s="72"/>
      <c r="I25" s="72"/>
      <c r="J25" s="72"/>
      <c r="K25" s="72"/>
      <c r="L25" s="72"/>
      <c r="M25" s="72"/>
      <c r="N25" s="72">
        <v>1</v>
      </c>
      <c r="O25" s="72">
        <v>2</v>
      </c>
      <c r="P25" s="72">
        <v>2</v>
      </c>
      <c r="Q25" s="72">
        <v>2</v>
      </c>
      <c r="R25" s="72">
        <v>1</v>
      </c>
      <c r="S25" s="72"/>
      <c r="T25" s="72"/>
      <c r="U25" s="72">
        <f t="shared" si="0"/>
        <v>8</v>
      </c>
    </row>
    <row r="26" spans="1:21" ht="19.899999999999999" customHeight="1" x14ac:dyDescent="0.25">
      <c r="A26" s="69">
        <v>46077</v>
      </c>
      <c r="B26" s="70" t="s">
        <v>109</v>
      </c>
      <c r="C26" s="70" t="s">
        <v>96</v>
      </c>
      <c r="D26" s="71" t="s">
        <v>97</v>
      </c>
      <c r="E26" s="72"/>
      <c r="F26" s="72"/>
      <c r="G26" s="72"/>
      <c r="H26" s="72"/>
      <c r="I26" s="72"/>
      <c r="J26" s="72"/>
      <c r="K26" s="72"/>
      <c r="L26" s="72"/>
      <c r="M26" s="72"/>
      <c r="N26" s="72">
        <v>1</v>
      </c>
      <c r="O26" s="72">
        <v>3</v>
      </c>
      <c r="P26" s="72">
        <v>3</v>
      </c>
      <c r="Q26" s="72">
        <v>2</v>
      </c>
      <c r="R26" s="72"/>
      <c r="S26" s="72"/>
      <c r="T26" s="72"/>
      <c r="U26" s="72">
        <f t="shared" si="0"/>
        <v>9</v>
      </c>
    </row>
    <row r="27" spans="1:21" ht="19.899999999999999" customHeight="1" x14ac:dyDescent="0.25">
      <c r="A27" s="69">
        <v>46077</v>
      </c>
      <c r="B27" s="70" t="s">
        <v>110</v>
      </c>
      <c r="C27" s="70" t="s">
        <v>99</v>
      </c>
      <c r="D27" s="71" t="s">
        <v>97</v>
      </c>
      <c r="E27" s="72"/>
      <c r="F27" s="72"/>
      <c r="G27" s="72"/>
      <c r="H27" s="72"/>
      <c r="I27" s="72"/>
      <c r="J27" s="72"/>
      <c r="K27" s="72"/>
      <c r="L27" s="72"/>
      <c r="M27" s="72"/>
      <c r="N27" s="72">
        <v>1</v>
      </c>
      <c r="O27" s="72">
        <v>1</v>
      </c>
      <c r="P27" s="72">
        <v>1</v>
      </c>
      <c r="Q27" s="72">
        <v>1</v>
      </c>
      <c r="R27" s="72"/>
      <c r="S27" s="72"/>
      <c r="T27" s="72"/>
      <c r="U27" s="72">
        <f t="shared" si="0"/>
        <v>4</v>
      </c>
    </row>
    <row r="28" spans="1:21" ht="19.899999999999999" customHeight="1" x14ac:dyDescent="0.25">
      <c r="A28" s="69">
        <v>46077</v>
      </c>
      <c r="B28" s="70" t="s">
        <v>110</v>
      </c>
      <c r="C28" s="70" t="s">
        <v>100</v>
      </c>
      <c r="D28" s="71" t="s">
        <v>97</v>
      </c>
      <c r="E28" s="72"/>
      <c r="F28" s="72"/>
      <c r="G28" s="72"/>
      <c r="H28" s="72"/>
      <c r="I28" s="72"/>
      <c r="J28" s="72"/>
      <c r="K28" s="72"/>
      <c r="L28" s="72"/>
      <c r="M28" s="72">
        <v>1</v>
      </c>
      <c r="N28" s="72">
        <v>3</v>
      </c>
      <c r="O28" s="72">
        <v>5</v>
      </c>
      <c r="P28" s="72">
        <v>6</v>
      </c>
      <c r="Q28" s="72">
        <v>5</v>
      </c>
      <c r="R28" s="72">
        <v>1</v>
      </c>
      <c r="S28" s="72"/>
      <c r="T28" s="72"/>
      <c r="U28" s="72">
        <f t="shared" si="0"/>
        <v>21</v>
      </c>
    </row>
    <row r="29" spans="1:21" ht="19.899999999999999" customHeight="1" x14ac:dyDescent="0.25">
      <c r="A29" s="69">
        <v>46077</v>
      </c>
      <c r="B29" s="70" t="s">
        <v>110</v>
      </c>
      <c r="C29" s="70" t="s">
        <v>101</v>
      </c>
      <c r="D29" s="71" t="s">
        <v>97</v>
      </c>
      <c r="E29" s="72"/>
      <c r="F29" s="72"/>
      <c r="G29" s="72"/>
      <c r="H29" s="72"/>
      <c r="I29" s="72"/>
      <c r="J29" s="72"/>
      <c r="K29" s="72"/>
      <c r="L29" s="72"/>
      <c r="M29" s="72">
        <v>1</v>
      </c>
      <c r="N29" s="72">
        <v>11</v>
      </c>
      <c r="O29" s="72">
        <v>19</v>
      </c>
      <c r="P29" s="72">
        <v>18</v>
      </c>
      <c r="Q29" s="72">
        <v>13</v>
      </c>
      <c r="R29" s="72">
        <v>6</v>
      </c>
      <c r="S29" s="72"/>
      <c r="T29" s="72"/>
      <c r="U29" s="72">
        <f>SUM(E29:T29)</f>
        <v>68</v>
      </c>
    </row>
    <row r="30" spans="1:21" ht="19.899999999999999" customHeight="1" x14ac:dyDescent="0.25">
      <c r="A30" s="69">
        <v>46077</v>
      </c>
      <c r="B30" s="70" t="s">
        <v>111</v>
      </c>
      <c r="C30" s="70" t="s">
        <v>106</v>
      </c>
      <c r="D30" s="71" t="s">
        <v>97</v>
      </c>
      <c r="E30" s="72"/>
      <c r="F30" s="72"/>
      <c r="G30" s="72"/>
      <c r="H30" s="72"/>
      <c r="I30" s="72"/>
      <c r="J30" s="72"/>
      <c r="K30" s="72"/>
      <c r="L30" s="72"/>
      <c r="M30" s="72"/>
      <c r="N30" s="72">
        <v>7</v>
      </c>
      <c r="O30" s="72">
        <v>6</v>
      </c>
      <c r="P30" s="72">
        <v>7</v>
      </c>
      <c r="Q30" s="72">
        <v>4</v>
      </c>
      <c r="R30" s="72">
        <v>1</v>
      </c>
      <c r="S30" s="72"/>
      <c r="T30" s="72"/>
      <c r="U30" s="72">
        <f t="shared" si="0"/>
        <v>25</v>
      </c>
    </row>
    <row r="31" spans="1:21" ht="19.899999999999999" customHeight="1" x14ac:dyDescent="0.25">
      <c r="A31" s="69">
        <v>46077</v>
      </c>
      <c r="B31" s="70" t="s">
        <v>111</v>
      </c>
      <c r="C31" s="70" t="s">
        <v>100</v>
      </c>
      <c r="D31" s="71" t="s">
        <v>97</v>
      </c>
      <c r="E31" s="72"/>
      <c r="F31" s="72"/>
      <c r="G31" s="72"/>
      <c r="H31" s="72"/>
      <c r="I31" s="72"/>
      <c r="J31" s="72"/>
      <c r="K31" s="72"/>
      <c r="L31" s="72"/>
      <c r="M31" s="72">
        <v>1</v>
      </c>
      <c r="N31" s="72">
        <v>3</v>
      </c>
      <c r="O31" s="72">
        <v>5</v>
      </c>
      <c r="P31" s="72">
        <v>5</v>
      </c>
      <c r="Q31" s="72">
        <v>3</v>
      </c>
      <c r="R31" s="72"/>
      <c r="S31" s="72"/>
      <c r="T31" s="72"/>
      <c r="U31" s="72">
        <f t="shared" si="0"/>
        <v>17</v>
      </c>
    </row>
    <row r="32" spans="1:21" ht="19.899999999999999" customHeight="1" x14ac:dyDescent="0.25">
      <c r="A32" s="69">
        <v>46077</v>
      </c>
      <c r="B32" s="70" t="s">
        <v>112</v>
      </c>
      <c r="C32" s="70" t="s">
        <v>100</v>
      </c>
      <c r="D32" s="71" t="s">
        <v>113</v>
      </c>
      <c r="E32" s="72"/>
      <c r="F32" s="72"/>
      <c r="G32" s="72"/>
      <c r="H32" s="72"/>
      <c r="I32" s="72"/>
      <c r="J32" s="72"/>
      <c r="K32" s="72"/>
      <c r="L32" s="72"/>
      <c r="M32" s="72"/>
      <c r="N32" s="72">
        <v>4</v>
      </c>
      <c r="O32" s="72">
        <v>8</v>
      </c>
      <c r="P32" s="72">
        <v>9</v>
      </c>
      <c r="Q32" s="72">
        <v>8</v>
      </c>
      <c r="R32" s="72">
        <v>5</v>
      </c>
      <c r="S32" s="72">
        <v>4</v>
      </c>
      <c r="T32" s="72"/>
      <c r="U32" s="72">
        <f t="shared" si="0"/>
        <v>38</v>
      </c>
    </row>
    <row r="33" spans="1:21" ht="19.899999999999999" customHeight="1" x14ac:dyDescent="0.25">
      <c r="A33" s="69">
        <v>46077</v>
      </c>
      <c r="B33" s="70" t="s">
        <v>104</v>
      </c>
      <c r="C33" s="70" t="s">
        <v>106</v>
      </c>
      <c r="D33" s="71" t="s">
        <v>97</v>
      </c>
      <c r="E33" s="72"/>
      <c r="F33" s="72"/>
      <c r="G33" s="72"/>
      <c r="H33" s="72"/>
      <c r="I33" s="72"/>
      <c r="J33" s="72"/>
      <c r="K33" s="72"/>
      <c r="L33" s="72"/>
      <c r="M33" s="72"/>
      <c r="N33" s="72">
        <v>1</v>
      </c>
      <c r="O33" s="72">
        <v>1</v>
      </c>
      <c r="P33" s="72">
        <v>1</v>
      </c>
      <c r="Q33" s="72"/>
      <c r="R33" s="72"/>
      <c r="S33" s="72"/>
      <c r="T33" s="72"/>
      <c r="U33" s="72">
        <f t="shared" si="0"/>
        <v>3</v>
      </c>
    </row>
    <row r="34" spans="1:21" ht="19.899999999999999" customHeight="1" x14ac:dyDescent="0.25">
      <c r="A34" s="69">
        <v>46077</v>
      </c>
      <c r="B34" s="70" t="s">
        <v>114</v>
      </c>
      <c r="C34" s="70" t="s">
        <v>100</v>
      </c>
      <c r="D34" s="71" t="s">
        <v>97</v>
      </c>
      <c r="E34" s="72"/>
      <c r="F34" s="72"/>
      <c r="G34" s="72"/>
      <c r="H34" s="72"/>
      <c r="I34" s="72">
        <v>2</v>
      </c>
      <c r="J34" s="72">
        <v>4</v>
      </c>
      <c r="K34" s="72">
        <v>4</v>
      </c>
      <c r="L34" s="72">
        <v>1</v>
      </c>
      <c r="M34" s="72"/>
      <c r="N34" s="72"/>
      <c r="O34" s="72"/>
      <c r="P34" s="72"/>
      <c r="Q34" s="72"/>
      <c r="R34" s="72"/>
      <c r="S34" s="72"/>
      <c r="T34" s="72"/>
      <c r="U34" s="72">
        <f t="shared" si="0"/>
        <v>11</v>
      </c>
    </row>
    <row r="35" spans="1:21" ht="19.899999999999999" customHeight="1" x14ac:dyDescent="0.25">
      <c r="A35" s="69">
        <v>46077</v>
      </c>
      <c r="B35" s="70" t="s">
        <v>114</v>
      </c>
      <c r="C35" s="70" t="s">
        <v>106</v>
      </c>
      <c r="D35" s="71" t="s">
        <v>97</v>
      </c>
      <c r="E35" s="72"/>
      <c r="F35" s="72"/>
      <c r="G35" s="72"/>
      <c r="H35" s="72"/>
      <c r="I35" s="72">
        <v>4</v>
      </c>
      <c r="J35" s="72">
        <v>4</v>
      </c>
      <c r="K35" s="72">
        <v>4</v>
      </c>
      <c r="L35" s="72">
        <v>1</v>
      </c>
      <c r="M35" s="72">
        <v>1</v>
      </c>
      <c r="N35" s="72"/>
      <c r="O35" s="72"/>
      <c r="P35" s="72"/>
      <c r="Q35" s="72"/>
      <c r="R35" s="72"/>
      <c r="S35" s="72"/>
      <c r="T35" s="72"/>
      <c r="U35" s="72">
        <f t="shared" si="0"/>
        <v>14</v>
      </c>
    </row>
    <row r="36" spans="1:21" ht="19.899999999999999" customHeight="1" x14ac:dyDescent="0.25">
      <c r="A36" s="69">
        <v>46077</v>
      </c>
      <c r="B36" s="70" t="s">
        <v>114</v>
      </c>
      <c r="C36" s="70" t="s">
        <v>96</v>
      </c>
      <c r="D36" s="71" t="s">
        <v>97</v>
      </c>
      <c r="E36" s="72"/>
      <c r="F36" s="72"/>
      <c r="G36" s="72"/>
      <c r="H36" s="72"/>
      <c r="I36" s="72">
        <v>1</v>
      </c>
      <c r="J36" s="72">
        <v>1</v>
      </c>
      <c r="K36" s="72">
        <v>2</v>
      </c>
      <c r="L36" s="72"/>
      <c r="M36" s="72">
        <v>1</v>
      </c>
      <c r="N36" s="72"/>
      <c r="O36" s="72"/>
      <c r="P36" s="72"/>
      <c r="Q36" s="72"/>
      <c r="R36" s="72"/>
      <c r="S36" s="72"/>
      <c r="T36" s="72"/>
      <c r="U36" s="72">
        <f t="shared" si="0"/>
        <v>5</v>
      </c>
    </row>
    <row r="37" spans="1:21" ht="19.899999999999999" customHeight="1" x14ac:dyDescent="0.25">
      <c r="A37" s="69">
        <v>46077</v>
      </c>
      <c r="B37" s="70" t="s">
        <v>114</v>
      </c>
      <c r="C37" s="70" t="s">
        <v>100</v>
      </c>
      <c r="D37" s="71" t="s">
        <v>97</v>
      </c>
      <c r="E37" s="72"/>
      <c r="F37" s="72"/>
      <c r="G37" s="72"/>
      <c r="H37" s="72"/>
      <c r="I37" s="72">
        <v>1</v>
      </c>
      <c r="J37" s="72">
        <v>4</v>
      </c>
      <c r="K37" s="72">
        <v>3</v>
      </c>
      <c r="L37" s="72">
        <v>1</v>
      </c>
      <c r="M37" s="72">
        <v>1</v>
      </c>
      <c r="N37" s="72"/>
      <c r="O37" s="72"/>
      <c r="P37" s="72"/>
      <c r="Q37" s="72"/>
      <c r="R37" s="72"/>
      <c r="S37" s="72"/>
      <c r="T37" s="72"/>
      <c r="U37" s="72">
        <f t="shared" si="0"/>
        <v>10</v>
      </c>
    </row>
    <row r="38" spans="1:21" ht="19.899999999999999" customHeight="1" x14ac:dyDescent="0.25">
      <c r="A38" s="69">
        <v>46077</v>
      </c>
      <c r="B38" s="70" t="s">
        <v>115</v>
      </c>
      <c r="C38" s="70" t="s">
        <v>100</v>
      </c>
      <c r="D38" s="71" t="s">
        <v>97</v>
      </c>
      <c r="E38" s="72"/>
      <c r="F38" s="72"/>
      <c r="G38" s="72"/>
      <c r="H38" s="72"/>
      <c r="I38" s="72"/>
      <c r="J38" s="72">
        <v>3</v>
      </c>
      <c r="K38" s="72">
        <v>3</v>
      </c>
      <c r="L38" s="72">
        <v>4</v>
      </c>
      <c r="M38" s="72">
        <v>1</v>
      </c>
      <c r="N38" s="72"/>
      <c r="O38" s="72"/>
      <c r="P38" s="72"/>
      <c r="Q38" s="72"/>
      <c r="R38" s="72"/>
      <c r="S38" s="72"/>
      <c r="T38" s="72"/>
      <c r="U38" s="72">
        <f t="shared" si="0"/>
        <v>11</v>
      </c>
    </row>
    <row r="39" spans="1:21" ht="19.899999999999999" customHeight="1" x14ac:dyDescent="0.25">
      <c r="A39" s="69">
        <v>46077</v>
      </c>
      <c r="B39" s="70" t="s">
        <v>115</v>
      </c>
      <c r="C39" s="70" t="s">
        <v>96</v>
      </c>
      <c r="D39" s="71" t="s">
        <v>97</v>
      </c>
      <c r="E39" s="72"/>
      <c r="F39" s="72"/>
      <c r="G39" s="72"/>
      <c r="H39" s="72"/>
      <c r="I39" s="72">
        <v>1</v>
      </c>
      <c r="J39" s="72">
        <v>3</v>
      </c>
      <c r="K39" s="72">
        <v>3</v>
      </c>
      <c r="L39" s="72">
        <v>1</v>
      </c>
      <c r="M39" s="72">
        <v>1</v>
      </c>
      <c r="N39" s="72">
        <v>1</v>
      </c>
      <c r="O39" s="72"/>
      <c r="P39" s="72"/>
      <c r="Q39" s="72"/>
      <c r="R39" s="72"/>
      <c r="S39" s="72"/>
      <c r="T39" s="72"/>
      <c r="U39" s="72">
        <f t="shared" si="0"/>
        <v>10</v>
      </c>
    </row>
    <row r="40" spans="1:21" ht="19.899999999999999" customHeight="1" x14ac:dyDescent="0.25">
      <c r="A40" s="69">
        <v>46077</v>
      </c>
      <c r="B40" s="70" t="s">
        <v>115</v>
      </c>
      <c r="C40" s="70" t="s">
        <v>100</v>
      </c>
      <c r="D40" s="71" t="s">
        <v>97</v>
      </c>
      <c r="E40" s="72"/>
      <c r="F40" s="72"/>
      <c r="G40" s="72"/>
      <c r="H40" s="72"/>
      <c r="I40" s="72">
        <v>3</v>
      </c>
      <c r="J40" s="72">
        <v>19</v>
      </c>
      <c r="K40" s="72">
        <v>22</v>
      </c>
      <c r="L40" s="72">
        <v>19</v>
      </c>
      <c r="M40" s="72">
        <v>7</v>
      </c>
      <c r="N40" s="72">
        <v>2</v>
      </c>
      <c r="O40" s="72"/>
      <c r="P40" s="72"/>
      <c r="Q40" s="72"/>
      <c r="R40" s="72"/>
      <c r="S40" s="72"/>
      <c r="T40" s="72"/>
      <c r="U40" s="72">
        <f t="shared" si="0"/>
        <v>72</v>
      </c>
    </row>
    <row r="41" spans="1:21" ht="19.899999999999999" customHeight="1" x14ac:dyDescent="0.25">
      <c r="A41" s="69">
        <v>46077</v>
      </c>
      <c r="B41" s="70" t="s">
        <v>116</v>
      </c>
      <c r="C41" s="70" t="s">
        <v>99</v>
      </c>
      <c r="D41" s="71" t="s">
        <v>97</v>
      </c>
      <c r="E41" s="72"/>
      <c r="F41" s="72"/>
      <c r="G41" s="72"/>
      <c r="H41" s="72"/>
      <c r="I41" s="72">
        <v>1</v>
      </c>
      <c r="J41" s="72">
        <v>3</v>
      </c>
      <c r="K41" s="72">
        <v>4</v>
      </c>
      <c r="L41" s="72">
        <v>4</v>
      </c>
      <c r="M41" s="72">
        <v>3</v>
      </c>
      <c r="N41" s="72"/>
      <c r="O41" s="72"/>
      <c r="P41" s="72"/>
      <c r="Q41" s="72"/>
      <c r="R41" s="72"/>
      <c r="S41" s="72"/>
      <c r="T41" s="72"/>
      <c r="U41" s="72">
        <f t="shared" si="0"/>
        <v>15</v>
      </c>
    </row>
    <row r="42" spans="1:21" ht="19.899999999999999" customHeight="1" x14ac:dyDescent="0.25">
      <c r="A42" s="69">
        <v>46077</v>
      </c>
      <c r="B42" s="70" t="s">
        <v>116</v>
      </c>
      <c r="C42" s="70" t="s">
        <v>100</v>
      </c>
      <c r="D42" s="71" t="s">
        <v>97</v>
      </c>
      <c r="E42" s="72"/>
      <c r="F42" s="72"/>
      <c r="G42" s="72"/>
      <c r="H42" s="72"/>
      <c r="I42" s="72">
        <v>2</v>
      </c>
      <c r="J42" s="72">
        <v>5</v>
      </c>
      <c r="K42" s="72">
        <v>7</v>
      </c>
      <c r="L42" s="72">
        <v>7</v>
      </c>
      <c r="M42" s="72">
        <v>1</v>
      </c>
      <c r="N42" s="72"/>
      <c r="O42" s="72"/>
      <c r="P42" s="72"/>
      <c r="Q42" s="72"/>
      <c r="R42" s="72"/>
      <c r="S42" s="72"/>
      <c r="T42" s="72"/>
      <c r="U42" s="72">
        <f t="shared" si="0"/>
        <v>22</v>
      </c>
    </row>
    <row r="43" spans="1:21" ht="19.899999999999999" customHeight="1" x14ac:dyDescent="0.25">
      <c r="A43" s="69">
        <v>46077</v>
      </c>
      <c r="B43" s="70" t="s">
        <v>116</v>
      </c>
      <c r="C43" s="70" t="s">
        <v>117</v>
      </c>
      <c r="D43" s="71" t="s">
        <v>97</v>
      </c>
      <c r="E43" s="72"/>
      <c r="F43" s="72"/>
      <c r="G43" s="72"/>
      <c r="H43" s="72"/>
      <c r="I43" s="72">
        <v>2</v>
      </c>
      <c r="J43" s="72">
        <v>15</v>
      </c>
      <c r="K43" s="72">
        <v>27</v>
      </c>
      <c r="L43" s="72">
        <v>30</v>
      </c>
      <c r="M43" s="72">
        <v>21</v>
      </c>
      <c r="N43" s="72">
        <v>2</v>
      </c>
      <c r="O43" s="72"/>
      <c r="P43" s="72"/>
      <c r="Q43" s="72"/>
      <c r="R43" s="72"/>
      <c r="S43" s="72"/>
      <c r="T43" s="72"/>
      <c r="U43" s="72">
        <f t="shared" si="0"/>
        <v>97</v>
      </c>
    </row>
    <row r="44" spans="1:21" ht="19.899999999999999" customHeight="1" x14ac:dyDescent="0.25">
      <c r="A44" s="69">
        <v>46077</v>
      </c>
      <c r="B44" s="70" t="s">
        <v>118</v>
      </c>
      <c r="C44" s="70" t="s">
        <v>106</v>
      </c>
      <c r="D44" s="71" t="s">
        <v>97</v>
      </c>
      <c r="E44" s="72"/>
      <c r="F44" s="72"/>
      <c r="G44" s="72"/>
      <c r="H44" s="72"/>
      <c r="I44" s="72">
        <v>1</v>
      </c>
      <c r="J44" s="72">
        <v>3</v>
      </c>
      <c r="K44" s="72">
        <v>2</v>
      </c>
      <c r="L44" s="72">
        <v>1</v>
      </c>
      <c r="M44" s="72"/>
      <c r="N44" s="72"/>
      <c r="O44" s="72"/>
      <c r="P44" s="72"/>
      <c r="Q44" s="72"/>
      <c r="R44" s="72"/>
      <c r="S44" s="72"/>
      <c r="T44" s="72"/>
      <c r="U44" s="72">
        <f t="shared" si="0"/>
        <v>7</v>
      </c>
    </row>
    <row r="45" spans="1:21" ht="19.899999999999999" customHeight="1" x14ac:dyDescent="0.25">
      <c r="A45" s="69">
        <v>46077</v>
      </c>
      <c r="B45" s="70" t="s">
        <v>118</v>
      </c>
      <c r="C45" s="70" t="s">
        <v>119</v>
      </c>
      <c r="D45" s="71" t="s">
        <v>97</v>
      </c>
      <c r="E45" s="72"/>
      <c r="F45" s="72"/>
      <c r="G45" s="72"/>
      <c r="H45" s="72"/>
      <c r="I45" s="72">
        <v>1</v>
      </c>
      <c r="J45" s="72">
        <v>4</v>
      </c>
      <c r="K45" s="72">
        <v>6</v>
      </c>
      <c r="L45" s="72">
        <v>5</v>
      </c>
      <c r="M45" s="72">
        <v>1</v>
      </c>
      <c r="N45" s="72"/>
      <c r="O45" s="72"/>
      <c r="P45" s="72"/>
      <c r="Q45" s="72"/>
      <c r="R45" s="72"/>
      <c r="S45" s="72"/>
      <c r="T45" s="72"/>
      <c r="U45" s="72">
        <f t="shared" si="0"/>
        <v>17</v>
      </c>
    </row>
    <row r="46" spans="1:21" ht="19.899999999999999" customHeight="1" x14ac:dyDescent="0.25">
      <c r="A46" s="69">
        <v>46077</v>
      </c>
      <c r="B46" s="70" t="s">
        <v>120</v>
      </c>
      <c r="C46" s="70" t="s">
        <v>99</v>
      </c>
      <c r="D46" s="71" t="s">
        <v>97</v>
      </c>
      <c r="E46" s="72"/>
      <c r="F46" s="72"/>
      <c r="G46" s="72"/>
      <c r="H46" s="72"/>
      <c r="I46" s="72">
        <v>1</v>
      </c>
      <c r="J46" s="72">
        <v>5</v>
      </c>
      <c r="K46" s="72">
        <v>5</v>
      </c>
      <c r="L46" s="72">
        <v>3</v>
      </c>
      <c r="M46" s="72"/>
      <c r="N46" s="72"/>
      <c r="O46" s="72"/>
      <c r="P46" s="72"/>
      <c r="Q46" s="72"/>
      <c r="R46" s="72"/>
      <c r="S46" s="72"/>
      <c r="T46" s="72"/>
      <c r="U46" s="72">
        <f t="shared" si="0"/>
        <v>14</v>
      </c>
    </row>
    <row r="47" spans="1:21" ht="19.899999999999999" customHeight="1" x14ac:dyDescent="0.25">
      <c r="A47" s="69">
        <v>46077</v>
      </c>
      <c r="B47" s="70" t="s">
        <v>120</v>
      </c>
      <c r="C47" s="70" t="s">
        <v>100</v>
      </c>
      <c r="D47" s="71" t="s">
        <v>97</v>
      </c>
      <c r="E47" s="72"/>
      <c r="F47" s="72"/>
      <c r="G47" s="72"/>
      <c r="H47" s="72"/>
      <c r="I47" s="72"/>
      <c r="J47" s="72">
        <v>6</v>
      </c>
      <c r="K47" s="72">
        <v>6</v>
      </c>
      <c r="L47" s="72">
        <v>5</v>
      </c>
      <c r="M47" s="72"/>
      <c r="N47" s="72"/>
      <c r="O47" s="72"/>
      <c r="P47" s="72"/>
      <c r="Q47" s="72"/>
      <c r="R47" s="72"/>
      <c r="S47" s="72"/>
      <c r="T47" s="72"/>
      <c r="U47" s="72">
        <f t="shared" si="0"/>
        <v>17</v>
      </c>
    </row>
    <row r="48" spans="1:21" ht="19.899999999999999" customHeight="1" x14ac:dyDescent="0.25">
      <c r="A48" s="69">
        <v>46077</v>
      </c>
      <c r="B48" s="70" t="s">
        <v>120</v>
      </c>
      <c r="C48" s="70" t="s">
        <v>96</v>
      </c>
      <c r="D48" s="71" t="s">
        <v>97</v>
      </c>
      <c r="E48" s="72"/>
      <c r="F48" s="72"/>
      <c r="G48" s="72"/>
      <c r="H48" s="72"/>
      <c r="I48" s="72"/>
      <c r="J48" s="72">
        <v>1</v>
      </c>
      <c r="K48" s="72">
        <v>1</v>
      </c>
      <c r="L48" s="72">
        <v>1</v>
      </c>
      <c r="M48" s="72"/>
      <c r="N48" s="72"/>
      <c r="O48" s="72"/>
      <c r="P48" s="72"/>
      <c r="Q48" s="72"/>
      <c r="R48" s="72"/>
      <c r="S48" s="72"/>
      <c r="T48" s="72"/>
      <c r="U48" s="72">
        <f t="shared" si="0"/>
        <v>3</v>
      </c>
    </row>
    <row r="49" spans="1:21" ht="19.899999999999999" customHeight="1" x14ac:dyDescent="0.25">
      <c r="A49" s="69">
        <v>46077</v>
      </c>
      <c r="B49" s="70" t="s">
        <v>115</v>
      </c>
      <c r="C49" s="70" t="s">
        <v>106</v>
      </c>
      <c r="D49" s="71" t="s">
        <v>97</v>
      </c>
      <c r="E49" s="72"/>
      <c r="F49" s="72"/>
      <c r="G49" s="72"/>
      <c r="H49" s="72"/>
      <c r="I49" s="72"/>
      <c r="J49" s="72"/>
      <c r="K49" s="72">
        <v>1</v>
      </c>
      <c r="L49" s="72">
        <v>1</v>
      </c>
      <c r="M49" s="72">
        <v>1</v>
      </c>
      <c r="N49" s="72"/>
      <c r="O49" s="72"/>
      <c r="P49" s="72"/>
      <c r="Q49" s="72"/>
      <c r="R49" s="72"/>
      <c r="S49" s="72"/>
      <c r="T49" s="72"/>
      <c r="U49" s="72">
        <f t="shared" si="0"/>
        <v>3</v>
      </c>
    </row>
    <row r="50" spans="1:21" ht="19.899999999999999" customHeight="1" x14ac:dyDescent="0.25">
      <c r="A50" s="69">
        <v>46077</v>
      </c>
      <c r="B50" s="70" t="s">
        <v>102</v>
      </c>
      <c r="C50" s="70" t="s">
        <v>100</v>
      </c>
      <c r="D50" s="71" t="s">
        <v>97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>
        <v>1</v>
      </c>
      <c r="P50" s="72">
        <v>1</v>
      </c>
      <c r="Q50" s="72"/>
      <c r="R50" s="72"/>
      <c r="S50" s="72"/>
      <c r="T50" s="72"/>
      <c r="U50" s="72">
        <f t="shared" si="0"/>
        <v>2</v>
      </c>
    </row>
    <row r="51" spans="1:21" ht="19.899999999999999" customHeight="1" x14ac:dyDescent="0.25">
      <c r="A51" s="69">
        <v>46077</v>
      </c>
      <c r="B51" s="70" t="s">
        <v>107</v>
      </c>
      <c r="C51" s="70" t="s">
        <v>100</v>
      </c>
      <c r="D51" s="71" t="s">
        <v>97</v>
      </c>
      <c r="E51" s="72"/>
      <c r="F51" s="72"/>
      <c r="G51" s="72"/>
      <c r="H51" s="72"/>
      <c r="I51" s="72"/>
      <c r="J51" s="72"/>
      <c r="K51" s="72"/>
      <c r="L51" s="72"/>
      <c r="M51" s="72"/>
      <c r="N51" s="72">
        <v>1</v>
      </c>
      <c r="O51" s="72">
        <v>2</v>
      </c>
      <c r="P51" s="72">
        <v>1</v>
      </c>
      <c r="Q51" s="72">
        <v>1</v>
      </c>
      <c r="R51" s="72">
        <v>1</v>
      </c>
      <c r="S51" s="72"/>
      <c r="T51" s="72"/>
      <c r="U51" s="72">
        <f t="shared" si="0"/>
        <v>6</v>
      </c>
    </row>
    <row r="52" spans="1:21" ht="19.899999999999999" customHeight="1" x14ac:dyDescent="0.25">
      <c r="A52" s="69">
        <v>46077</v>
      </c>
      <c r="B52" s="70" t="s">
        <v>109</v>
      </c>
      <c r="C52" s="70" t="s">
        <v>100</v>
      </c>
      <c r="D52" s="71" t="s">
        <v>97</v>
      </c>
      <c r="E52" s="72"/>
      <c r="F52" s="72"/>
      <c r="G52" s="72"/>
      <c r="H52" s="72"/>
      <c r="I52" s="72"/>
      <c r="J52" s="72"/>
      <c r="K52" s="72"/>
      <c r="L52" s="72"/>
      <c r="M52" s="72"/>
      <c r="N52" s="72">
        <v>2</v>
      </c>
      <c r="O52" s="72">
        <v>5</v>
      </c>
      <c r="P52" s="72">
        <v>5</v>
      </c>
      <c r="Q52" s="72">
        <v>4</v>
      </c>
      <c r="R52" s="72">
        <v>2</v>
      </c>
      <c r="S52" s="72">
        <v>1</v>
      </c>
      <c r="T52" s="72"/>
      <c r="U52" s="72">
        <f t="shared" si="0"/>
        <v>19</v>
      </c>
    </row>
    <row r="53" spans="1:21" ht="19.899999999999999" customHeight="1" x14ac:dyDescent="0.25">
      <c r="A53" s="69">
        <v>46077</v>
      </c>
      <c r="B53" s="70" t="s">
        <v>109</v>
      </c>
      <c r="C53" s="70" t="s">
        <v>106</v>
      </c>
      <c r="D53" s="71" t="s">
        <v>97</v>
      </c>
      <c r="E53" s="72"/>
      <c r="F53" s="72"/>
      <c r="G53" s="72"/>
      <c r="H53" s="72"/>
      <c r="I53" s="72"/>
      <c r="J53" s="72"/>
      <c r="K53" s="72"/>
      <c r="L53" s="72"/>
      <c r="M53" s="72"/>
      <c r="N53" s="72">
        <v>1</v>
      </c>
      <c r="O53" s="72">
        <v>2</v>
      </c>
      <c r="P53" s="72">
        <v>2</v>
      </c>
      <c r="Q53" s="72">
        <v>1</v>
      </c>
      <c r="R53" s="72">
        <v>1</v>
      </c>
      <c r="S53" s="72"/>
      <c r="T53" s="72"/>
      <c r="U53" s="72">
        <f t="shared" si="0"/>
        <v>7</v>
      </c>
    </row>
    <row r="54" spans="1:21" ht="19.899999999999999" customHeight="1" x14ac:dyDescent="0.25">
      <c r="A54" s="69">
        <v>46077</v>
      </c>
      <c r="B54" s="70" t="s">
        <v>110</v>
      </c>
      <c r="C54" s="70" t="s">
        <v>101</v>
      </c>
      <c r="D54" s="71" t="s">
        <v>97</v>
      </c>
      <c r="E54" s="72"/>
      <c r="F54" s="72"/>
      <c r="G54" s="72"/>
      <c r="H54" s="72"/>
      <c r="I54" s="72"/>
      <c r="J54" s="72"/>
      <c r="K54" s="72"/>
      <c r="L54" s="72"/>
      <c r="M54" s="72"/>
      <c r="N54" s="72">
        <v>3</v>
      </c>
      <c r="O54" s="72">
        <v>4</v>
      </c>
      <c r="P54" s="72">
        <v>4</v>
      </c>
      <c r="Q54" s="72">
        <v>2</v>
      </c>
      <c r="R54" s="72"/>
      <c r="S54" s="72"/>
      <c r="T54" s="72"/>
      <c r="U54" s="72">
        <f t="shared" si="0"/>
        <v>13</v>
      </c>
    </row>
    <row r="55" spans="1:21" ht="19.899999999999999" customHeight="1" x14ac:dyDescent="0.25">
      <c r="A55" s="69">
        <v>46077</v>
      </c>
      <c r="B55" s="70" t="s">
        <v>111</v>
      </c>
      <c r="C55" s="70" t="s">
        <v>106</v>
      </c>
      <c r="D55" s="71" t="s">
        <v>97</v>
      </c>
      <c r="E55" s="72"/>
      <c r="F55" s="72"/>
      <c r="G55" s="72"/>
      <c r="H55" s="72"/>
      <c r="I55" s="72"/>
      <c r="J55" s="72"/>
      <c r="K55" s="72"/>
      <c r="L55" s="72"/>
      <c r="M55" s="72">
        <v>1</v>
      </c>
      <c r="N55" s="72">
        <v>1</v>
      </c>
      <c r="O55" s="72">
        <v>1</v>
      </c>
      <c r="P55" s="72">
        <v>1</v>
      </c>
      <c r="Q55" s="72">
        <v>1</v>
      </c>
      <c r="R55" s="72"/>
      <c r="S55" s="72"/>
      <c r="T55" s="72"/>
      <c r="U55" s="72">
        <f t="shared" si="0"/>
        <v>5</v>
      </c>
    </row>
    <row r="56" spans="1:21" ht="19.899999999999999" customHeight="1" x14ac:dyDescent="0.25">
      <c r="A56" s="69">
        <v>46077</v>
      </c>
      <c r="B56" s="70" t="s">
        <v>111</v>
      </c>
      <c r="C56" s="70" t="s">
        <v>100</v>
      </c>
      <c r="D56" s="71" t="s">
        <v>97</v>
      </c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>
        <v>1</v>
      </c>
      <c r="P56" s="72">
        <v>1</v>
      </c>
      <c r="Q56" s="72">
        <v>1</v>
      </c>
      <c r="R56" s="72"/>
      <c r="S56" s="72"/>
      <c r="T56" s="72"/>
      <c r="U56" s="72">
        <f t="shared" si="0"/>
        <v>3</v>
      </c>
    </row>
    <row r="57" spans="1:21" ht="19.899999999999999" customHeight="1" x14ac:dyDescent="0.25">
      <c r="A57" s="69">
        <v>46077</v>
      </c>
      <c r="B57" s="70" t="s">
        <v>112</v>
      </c>
      <c r="C57" s="70" t="s">
        <v>100</v>
      </c>
      <c r="D57" s="71" t="s">
        <v>113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>
        <v>1</v>
      </c>
      <c r="P57" s="72">
        <v>1</v>
      </c>
      <c r="Q57" s="72">
        <v>1</v>
      </c>
      <c r="R57" s="72">
        <v>1</v>
      </c>
      <c r="S57" s="72"/>
      <c r="T57" s="72"/>
      <c r="U57" s="72">
        <f t="shared" si="0"/>
        <v>4</v>
      </c>
    </row>
    <row r="58" spans="1:21" ht="19.899999999999999" customHeight="1" x14ac:dyDescent="0.25">
      <c r="A58" s="69">
        <v>46077</v>
      </c>
      <c r="B58" s="70" t="s">
        <v>114</v>
      </c>
      <c r="C58" s="70" t="s">
        <v>100</v>
      </c>
      <c r="D58" s="71" t="s">
        <v>97</v>
      </c>
      <c r="E58" s="72"/>
      <c r="F58" s="72"/>
      <c r="G58" s="72"/>
      <c r="H58" s="72"/>
      <c r="I58" s="72"/>
      <c r="J58" s="72">
        <v>2</v>
      </c>
      <c r="K58" s="72">
        <v>2</v>
      </c>
      <c r="L58" s="72">
        <v>2</v>
      </c>
      <c r="M58" s="72"/>
      <c r="N58" s="72"/>
      <c r="O58" s="72"/>
      <c r="P58" s="72"/>
      <c r="Q58" s="72"/>
      <c r="R58" s="72"/>
      <c r="S58" s="72"/>
      <c r="T58" s="72"/>
      <c r="U58" s="72">
        <f t="shared" si="0"/>
        <v>6</v>
      </c>
    </row>
    <row r="59" spans="1:21" ht="19.899999999999999" customHeight="1" x14ac:dyDescent="0.25">
      <c r="A59" s="69">
        <v>46077</v>
      </c>
      <c r="B59" s="70" t="s">
        <v>114</v>
      </c>
      <c r="C59" s="70" t="s">
        <v>100</v>
      </c>
      <c r="D59" s="71" t="s">
        <v>97</v>
      </c>
      <c r="E59" s="72"/>
      <c r="F59" s="72"/>
      <c r="G59" s="72"/>
      <c r="H59" s="72"/>
      <c r="I59" s="72"/>
      <c r="J59" s="72"/>
      <c r="K59" s="72">
        <v>2</v>
      </c>
      <c r="L59" s="72"/>
      <c r="M59" s="72"/>
      <c r="N59" s="72"/>
      <c r="O59" s="72"/>
      <c r="P59" s="72"/>
      <c r="Q59" s="72"/>
      <c r="R59" s="72"/>
      <c r="S59" s="72"/>
      <c r="T59" s="72"/>
      <c r="U59" s="72">
        <f t="shared" si="0"/>
        <v>2</v>
      </c>
    </row>
    <row r="60" spans="1:21" ht="19.899999999999999" customHeight="1" x14ac:dyDescent="0.25">
      <c r="A60" s="69">
        <v>46077</v>
      </c>
      <c r="B60" s="70" t="s">
        <v>115</v>
      </c>
      <c r="C60" s="70" t="s">
        <v>100</v>
      </c>
      <c r="D60" s="71" t="s">
        <v>97</v>
      </c>
      <c r="E60" s="72"/>
      <c r="F60" s="72"/>
      <c r="G60" s="72"/>
      <c r="H60" s="72"/>
      <c r="I60" s="72">
        <v>1</v>
      </c>
      <c r="J60" s="72">
        <v>8</v>
      </c>
      <c r="K60" s="72">
        <v>11</v>
      </c>
      <c r="L60" s="72">
        <v>6</v>
      </c>
      <c r="M60" s="72">
        <v>1</v>
      </c>
      <c r="N60" s="72"/>
      <c r="O60" s="72"/>
      <c r="P60" s="72"/>
      <c r="Q60" s="72"/>
      <c r="R60" s="72"/>
      <c r="S60" s="72"/>
      <c r="T60" s="72"/>
      <c r="U60" s="72">
        <f t="shared" si="0"/>
        <v>27</v>
      </c>
    </row>
    <row r="61" spans="1:21" ht="19.899999999999999" customHeight="1" x14ac:dyDescent="0.25">
      <c r="A61" s="69">
        <v>46077</v>
      </c>
      <c r="B61" s="70" t="s">
        <v>118</v>
      </c>
      <c r="C61" s="70" t="s">
        <v>119</v>
      </c>
      <c r="D61" s="71" t="s">
        <v>97</v>
      </c>
      <c r="E61" s="72"/>
      <c r="F61" s="72"/>
      <c r="G61" s="72"/>
      <c r="H61" s="72"/>
      <c r="I61" s="72"/>
      <c r="J61" s="72">
        <v>2</v>
      </c>
      <c r="K61" s="72">
        <v>2</v>
      </c>
      <c r="L61" s="72">
        <v>1</v>
      </c>
      <c r="M61" s="72"/>
      <c r="N61" s="72"/>
      <c r="O61" s="72"/>
      <c r="P61" s="72"/>
      <c r="Q61" s="72"/>
      <c r="R61" s="72"/>
      <c r="S61" s="72"/>
      <c r="T61" s="72"/>
      <c r="U61" s="72">
        <f t="shared" si="0"/>
        <v>5</v>
      </c>
    </row>
    <row r="62" spans="1:21" ht="19.899999999999999" customHeight="1" x14ac:dyDescent="0.25">
      <c r="A62" s="69">
        <v>46077</v>
      </c>
      <c r="B62" s="70" t="s">
        <v>118</v>
      </c>
      <c r="C62" s="70" t="s">
        <v>100</v>
      </c>
      <c r="D62" s="71" t="s">
        <v>97</v>
      </c>
      <c r="E62" s="72"/>
      <c r="F62" s="72"/>
      <c r="G62" s="72"/>
      <c r="H62" s="72"/>
      <c r="I62" s="72"/>
      <c r="J62" s="72">
        <v>1</v>
      </c>
      <c r="K62" s="72">
        <v>1</v>
      </c>
      <c r="L62" s="72">
        <v>1</v>
      </c>
      <c r="M62" s="72"/>
      <c r="N62" s="72"/>
      <c r="O62" s="72"/>
      <c r="P62" s="72"/>
      <c r="Q62" s="72"/>
      <c r="R62" s="72"/>
      <c r="S62" s="72"/>
      <c r="T62" s="72"/>
      <c r="U62" s="72">
        <f t="shared" si="0"/>
        <v>3</v>
      </c>
    </row>
    <row r="63" spans="1:21" ht="19.899999999999999" customHeight="1" x14ac:dyDescent="0.25">
      <c r="A63" s="69">
        <v>46077</v>
      </c>
      <c r="B63" s="70" t="s">
        <v>120</v>
      </c>
      <c r="C63" s="70" t="s">
        <v>99</v>
      </c>
      <c r="D63" s="71" t="s">
        <v>97</v>
      </c>
      <c r="E63" s="72"/>
      <c r="F63" s="72"/>
      <c r="G63" s="72"/>
      <c r="H63" s="72"/>
      <c r="I63" s="72">
        <v>1</v>
      </c>
      <c r="J63" s="72">
        <v>2</v>
      </c>
      <c r="K63" s="72">
        <v>3</v>
      </c>
      <c r="L63" s="72">
        <v>2</v>
      </c>
      <c r="M63" s="72"/>
      <c r="N63" s="72"/>
      <c r="O63" s="72"/>
      <c r="P63" s="72"/>
      <c r="Q63" s="72"/>
      <c r="R63" s="72"/>
      <c r="S63" s="72"/>
      <c r="T63" s="72"/>
      <c r="U63" s="72">
        <f t="shared" si="0"/>
        <v>8</v>
      </c>
    </row>
    <row r="64" spans="1:21" ht="19.899999999999999" customHeight="1" x14ac:dyDescent="0.25">
      <c r="A64" s="69">
        <v>46077</v>
      </c>
      <c r="B64" s="70" t="s">
        <v>115</v>
      </c>
      <c r="C64" s="70" t="s">
        <v>106</v>
      </c>
      <c r="D64" s="71" t="s">
        <v>97</v>
      </c>
      <c r="E64" s="72"/>
      <c r="F64" s="72"/>
      <c r="G64" s="72"/>
      <c r="H64" s="72"/>
      <c r="I64" s="72"/>
      <c r="J64" s="72"/>
      <c r="K64" s="72">
        <v>1</v>
      </c>
      <c r="L64" s="72">
        <v>1</v>
      </c>
      <c r="M64" s="72">
        <v>1</v>
      </c>
      <c r="N64" s="72"/>
      <c r="O64" s="72"/>
      <c r="P64" s="72"/>
      <c r="Q64" s="72"/>
      <c r="R64" s="72"/>
      <c r="S64" s="72"/>
      <c r="T64" s="72"/>
      <c r="U64" s="72">
        <f t="shared" si="0"/>
        <v>3</v>
      </c>
    </row>
    <row r="65" spans="1:21" ht="19.899999999999999" customHeight="1" x14ac:dyDescent="0.25">
      <c r="A65" s="69">
        <v>46077</v>
      </c>
      <c r="B65" s="70" t="s">
        <v>102</v>
      </c>
      <c r="C65" s="70" t="s">
        <v>100</v>
      </c>
      <c r="D65" s="71" t="s">
        <v>97</v>
      </c>
      <c r="E65" s="72"/>
      <c r="F65" s="72"/>
      <c r="G65" s="72"/>
      <c r="H65" s="72"/>
      <c r="I65" s="72"/>
      <c r="J65" s="72"/>
      <c r="K65" s="72"/>
      <c r="L65" s="72"/>
      <c r="M65" s="72">
        <v>1</v>
      </c>
      <c r="N65" s="72">
        <v>1</v>
      </c>
      <c r="O65" s="72">
        <v>1</v>
      </c>
      <c r="P65" s="72">
        <v>1</v>
      </c>
      <c r="Q65" s="72">
        <v>1</v>
      </c>
      <c r="R65" s="72"/>
      <c r="S65" s="72"/>
      <c r="T65" s="72"/>
      <c r="U65" s="72">
        <f t="shared" si="0"/>
        <v>5</v>
      </c>
    </row>
    <row r="66" spans="1:21" ht="19.899999999999999" customHeight="1" x14ac:dyDescent="0.25">
      <c r="A66" s="69">
        <v>46077</v>
      </c>
      <c r="B66" s="70" t="s">
        <v>102</v>
      </c>
      <c r="C66" s="70" t="s">
        <v>101</v>
      </c>
      <c r="D66" s="71" t="s">
        <v>97</v>
      </c>
      <c r="E66" s="72"/>
      <c r="F66" s="72"/>
      <c r="G66" s="72"/>
      <c r="H66" s="72"/>
      <c r="I66" s="72"/>
      <c r="J66" s="72"/>
      <c r="K66" s="72"/>
      <c r="L66" s="72"/>
      <c r="M66" s="72">
        <v>1</v>
      </c>
      <c r="N66" s="72">
        <v>1</v>
      </c>
      <c r="O66" s="72">
        <v>1</v>
      </c>
      <c r="P66" s="72">
        <v>1</v>
      </c>
      <c r="Q66" s="72">
        <v>1</v>
      </c>
      <c r="R66" s="72"/>
      <c r="S66" s="72"/>
      <c r="T66" s="72"/>
      <c r="U66" s="72">
        <f t="shared" si="0"/>
        <v>5</v>
      </c>
    </row>
    <row r="67" spans="1:21" ht="19.899999999999999" customHeight="1" x14ac:dyDescent="0.25">
      <c r="A67" s="69">
        <v>46077</v>
      </c>
      <c r="B67" s="70" t="s">
        <v>103</v>
      </c>
      <c r="C67" s="70" t="s">
        <v>100</v>
      </c>
      <c r="D67" s="71" t="s">
        <v>97</v>
      </c>
      <c r="E67" s="72"/>
      <c r="F67" s="72"/>
      <c r="G67" s="72"/>
      <c r="H67" s="72"/>
      <c r="I67" s="72"/>
      <c r="J67" s="72"/>
      <c r="K67" s="72"/>
      <c r="L67" s="72"/>
      <c r="M67" s="72"/>
      <c r="N67" s="72">
        <v>1</v>
      </c>
      <c r="O67" s="72">
        <v>1</v>
      </c>
      <c r="P67" s="72">
        <v>1</v>
      </c>
      <c r="Q67" s="72">
        <v>1</v>
      </c>
      <c r="R67" s="72"/>
      <c r="S67" s="72"/>
      <c r="T67" s="72"/>
      <c r="U67" s="72">
        <f t="shared" ref="U67:U77" si="1">SUM(E67:T67)</f>
        <v>4</v>
      </c>
    </row>
    <row r="68" spans="1:21" ht="19.899999999999999" customHeight="1" x14ac:dyDescent="0.25">
      <c r="A68" s="69">
        <v>46077</v>
      </c>
      <c r="B68" s="70" t="s">
        <v>105</v>
      </c>
      <c r="C68" s="70" t="s">
        <v>106</v>
      </c>
      <c r="D68" s="71" t="s">
        <v>97</v>
      </c>
      <c r="E68" s="72"/>
      <c r="F68" s="72"/>
      <c r="G68" s="72"/>
      <c r="H68" s="72"/>
      <c r="I68" s="72"/>
      <c r="J68" s="72"/>
      <c r="K68" s="72"/>
      <c r="L68" s="72"/>
      <c r="M68" s="72">
        <v>1</v>
      </c>
      <c r="N68" s="72">
        <v>1</v>
      </c>
      <c r="O68" s="72">
        <v>1</v>
      </c>
      <c r="P68" s="72">
        <v>1</v>
      </c>
      <c r="Q68" s="72"/>
      <c r="R68" s="72"/>
      <c r="S68" s="72"/>
      <c r="T68" s="72"/>
      <c r="U68" s="72">
        <f t="shared" si="1"/>
        <v>4</v>
      </c>
    </row>
    <row r="69" spans="1:21" ht="19.899999999999999" customHeight="1" x14ac:dyDescent="0.25">
      <c r="A69" s="69">
        <v>46077</v>
      </c>
      <c r="B69" s="70" t="s">
        <v>107</v>
      </c>
      <c r="C69" s="70" t="s">
        <v>100</v>
      </c>
      <c r="D69" s="71" t="s">
        <v>97</v>
      </c>
      <c r="E69" s="72"/>
      <c r="F69" s="72"/>
      <c r="G69" s="72"/>
      <c r="H69" s="72"/>
      <c r="I69" s="72"/>
      <c r="J69" s="72"/>
      <c r="K69" s="72"/>
      <c r="L69" s="72"/>
      <c r="M69" s="72">
        <v>1</v>
      </c>
      <c r="N69" s="72">
        <v>1</v>
      </c>
      <c r="O69" s="72">
        <v>1</v>
      </c>
      <c r="P69" s="72">
        <v>1</v>
      </c>
      <c r="Q69" s="72"/>
      <c r="R69" s="72"/>
      <c r="S69" s="72"/>
      <c r="T69" s="72"/>
      <c r="U69" s="72">
        <f t="shared" si="1"/>
        <v>4</v>
      </c>
    </row>
    <row r="70" spans="1:21" ht="19.899999999999999" customHeight="1" x14ac:dyDescent="0.25">
      <c r="A70" s="69">
        <v>46077</v>
      </c>
      <c r="B70" s="70" t="s">
        <v>107</v>
      </c>
      <c r="C70" s="70" t="s">
        <v>96</v>
      </c>
      <c r="D70" s="71" t="s">
        <v>97</v>
      </c>
      <c r="E70" s="72"/>
      <c r="F70" s="72"/>
      <c r="G70" s="72"/>
      <c r="H70" s="72"/>
      <c r="I70" s="72"/>
      <c r="J70" s="72"/>
      <c r="K70" s="72"/>
      <c r="L70" s="72"/>
      <c r="M70" s="72"/>
      <c r="N70" s="72">
        <v>1</v>
      </c>
      <c r="O70" s="72">
        <v>1</v>
      </c>
      <c r="P70" s="72">
        <v>1</v>
      </c>
      <c r="Q70" s="72">
        <v>1</v>
      </c>
      <c r="R70" s="72"/>
      <c r="S70" s="72"/>
      <c r="T70" s="72"/>
      <c r="U70" s="72">
        <f t="shared" si="1"/>
        <v>4</v>
      </c>
    </row>
    <row r="71" spans="1:21" ht="19.899999999999999" customHeight="1" x14ac:dyDescent="0.25">
      <c r="A71" s="69">
        <v>46077</v>
      </c>
      <c r="B71" s="70" t="s">
        <v>109</v>
      </c>
      <c r="C71" s="70" t="s">
        <v>100</v>
      </c>
      <c r="D71" s="71" t="s">
        <v>97</v>
      </c>
      <c r="E71" s="72"/>
      <c r="F71" s="72"/>
      <c r="G71" s="72"/>
      <c r="H71" s="72"/>
      <c r="I71" s="72"/>
      <c r="J71" s="72"/>
      <c r="K71" s="72"/>
      <c r="L71" s="72"/>
      <c r="M71" s="72"/>
      <c r="N71" s="72">
        <v>2</v>
      </c>
      <c r="O71" s="72">
        <v>3</v>
      </c>
      <c r="P71" s="72">
        <v>3</v>
      </c>
      <c r="Q71" s="72">
        <v>3</v>
      </c>
      <c r="R71" s="72">
        <v>1</v>
      </c>
      <c r="S71" s="72">
        <v>1</v>
      </c>
      <c r="T71" s="72">
        <v>1</v>
      </c>
      <c r="U71" s="72">
        <f t="shared" si="1"/>
        <v>14</v>
      </c>
    </row>
    <row r="72" spans="1:21" ht="19.899999999999999" customHeight="1" x14ac:dyDescent="0.25">
      <c r="A72" s="69">
        <v>46077</v>
      </c>
      <c r="B72" s="70" t="s">
        <v>109</v>
      </c>
      <c r="C72" s="70" t="s">
        <v>106</v>
      </c>
      <c r="D72" s="71" t="s">
        <v>97</v>
      </c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>
        <v>1</v>
      </c>
      <c r="Q72" s="72">
        <v>1</v>
      </c>
      <c r="R72" s="72">
        <v>1</v>
      </c>
      <c r="S72" s="72"/>
      <c r="T72" s="72"/>
      <c r="U72" s="72">
        <f t="shared" si="1"/>
        <v>3</v>
      </c>
    </row>
    <row r="73" spans="1:21" ht="19.899999999999999" customHeight="1" x14ac:dyDescent="0.25">
      <c r="A73" s="69">
        <v>46077</v>
      </c>
      <c r="B73" s="70" t="s">
        <v>115</v>
      </c>
      <c r="C73" s="70" t="s">
        <v>100</v>
      </c>
      <c r="D73" s="71" t="s">
        <v>97</v>
      </c>
      <c r="E73" s="72"/>
      <c r="F73" s="72"/>
      <c r="G73" s="72"/>
      <c r="H73" s="72"/>
      <c r="I73" s="72"/>
      <c r="J73" s="72">
        <v>2</v>
      </c>
      <c r="K73" s="72">
        <v>2</v>
      </c>
      <c r="L73" s="72">
        <v>1</v>
      </c>
      <c r="M73" s="72">
        <v>1</v>
      </c>
      <c r="N73" s="72"/>
      <c r="O73" s="72"/>
      <c r="P73" s="72"/>
      <c r="Q73" s="72"/>
      <c r="R73" s="72"/>
      <c r="S73" s="72"/>
      <c r="T73" s="72"/>
      <c r="U73" s="72">
        <f t="shared" si="1"/>
        <v>6</v>
      </c>
    </row>
    <row r="74" spans="1:21" ht="19.899999999999999" customHeight="1" x14ac:dyDescent="0.25">
      <c r="A74" s="69">
        <v>46077</v>
      </c>
      <c r="B74" s="70" t="s">
        <v>116</v>
      </c>
      <c r="C74" s="70" t="s">
        <v>117</v>
      </c>
      <c r="D74" s="71" t="s">
        <v>97</v>
      </c>
      <c r="E74" s="72"/>
      <c r="F74" s="72"/>
      <c r="G74" s="72"/>
      <c r="H74" s="72"/>
      <c r="I74" s="72"/>
      <c r="J74" s="72"/>
      <c r="K74" s="72">
        <v>2</v>
      </c>
      <c r="L74" s="72">
        <v>2</v>
      </c>
      <c r="M74" s="72">
        <v>1</v>
      </c>
      <c r="N74" s="72"/>
      <c r="O74" s="72"/>
      <c r="P74" s="72"/>
      <c r="Q74" s="72"/>
      <c r="R74" s="72"/>
      <c r="S74" s="72"/>
      <c r="T74" s="72"/>
      <c r="U74" s="72">
        <f t="shared" si="1"/>
        <v>5</v>
      </c>
    </row>
    <row r="75" spans="1:21" ht="19.899999999999999" customHeight="1" x14ac:dyDescent="0.25">
      <c r="A75" s="69">
        <v>46077</v>
      </c>
      <c r="B75" s="70" t="s">
        <v>118</v>
      </c>
      <c r="C75" s="70" t="s">
        <v>119</v>
      </c>
      <c r="D75" s="71" t="s">
        <v>97</v>
      </c>
      <c r="E75" s="72"/>
      <c r="F75" s="72"/>
      <c r="G75" s="72"/>
      <c r="H75" s="72"/>
      <c r="I75" s="72"/>
      <c r="J75" s="72">
        <v>1</v>
      </c>
      <c r="K75" s="72">
        <v>1</v>
      </c>
      <c r="L75" s="72">
        <v>1</v>
      </c>
      <c r="M75" s="72"/>
      <c r="N75" s="72"/>
      <c r="O75" s="72"/>
      <c r="P75" s="72"/>
      <c r="Q75" s="72"/>
      <c r="R75" s="72"/>
      <c r="S75" s="72"/>
      <c r="T75" s="72"/>
      <c r="U75" s="72">
        <f t="shared" si="1"/>
        <v>3</v>
      </c>
    </row>
    <row r="76" spans="1:21" ht="19.899999999999999" customHeight="1" x14ac:dyDescent="0.25">
      <c r="A76" s="69">
        <v>46077</v>
      </c>
      <c r="B76" s="70" t="s">
        <v>120</v>
      </c>
      <c r="C76" s="70" t="s">
        <v>99</v>
      </c>
      <c r="D76" s="71" t="s">
        <v>97</v>
      </c>
      <c r="E76" s="72"/>
      <c r="F76" s="72"/>
      <c r="G76" s="72"/>
      <c r="H76" s="72"/>
      <c r="I76" s="72"/>
      <c r="J76" s="72">
        <v>1</v>
      </c>
      <c r="K76" s="72"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>
        <f t="shared" si="1"/>
        <v>2</v>
      </c>
    </row>
    <row r="77" spans="1:21" ht="19.899999999999999" customHeight="1" x14ac:dyDescent="0.25">
      <c r="A77" s="69">
        <v>46077</v>
      </c>
      <c r="B77" s="70" t="s">
        <v>120</v>
      </c>
      <c r="C77" s="70" t="s">
        <v>96</v>
      </c>
      <c r="D77" s="71" t="s">
        <v>97</v>
      </c>
      <c r="E77" s="72"/>
      <c r="F77" s="72"/>
      <c r="G77" s="72"/>
      <c r="H77" s="72"/>
      <c r="I77" s="72">
        <v>1</v>
      </c>
      <c r="J77" s="72">
        <v>1</v>
      </c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>
        <f t="shared" si="1"/>
        <v>2</v>
      </c>
    </row>
    <row r="78" spans="1:21" ht="19.899999999999999" customHeight="1" x14ac:dyDescent="0.25">
      <c r="A78" s="70"/>
      <c r="B78" s="70"/>
      <c r="C78" s="70"/>
      <c r="D78" s="71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</row>
    <row r="79" spans="1:21" ht="19.899999999999999" customHeight="1" x14ac:dyDescent="0.25">
      <c r="A79" s="73"/>
      <c r="B79" s="73"/>
      <c r="C79" s="73"/>
      <c r="D79" s="74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>
        <f>SUM(U2:U78)</f>
        <v>1425</v>
      </c>
    </row>
    <row r="80" spans="1:21" x14ac:dyDescent="0.25">
      <c r="O80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topLeftCell="A64" workbookViewId="0">
      <selection activeCell="W11" sqref="W11"/>
    </sheetView>
  </sheetViews>
  <sheetFormatPr defaultRowHeight="32.25" customHeight="1" x14ac:dyDescent="0.25"/>
  <cols>
    <col min="1" max="1" width="9" style="75" bestFit="1" customWidth="1"/>
    <col min="2" max="2" width="16.140625" style="75" customWidth="1"/>
    <col min="3" max="3" width="11.5703125" style="75" bestFit="1" customWidth="1"/>
    <col min="4" max="4" width="15.42578125" style="75" hidden="1" customWidth="1"/>
    <col min="5" max="5" width="17" style="75" hidden="1" customWidth="1"/>
    <col min="6" max="17" width="4.5703125" customWidth="1"/>
    <col min="18" max="18" width="4.5703125" style="20" customWidth="1"/>
  </cols>
  <sheetData>
    <row r="1" spans="1:18" ht="32.25" customHeight="1" x14ac:dyDescent="0.25">
      <c r="A1" s="64" t="s">
        <v>90</v>
      </c>
      <c r="B1" s="65" t="s">
        <v>91</v>
      </c>
      <c r="C1" s="66" t="s">
        <v>92</v>
      </c>
      <c r="D1" s="66" t="s">
        <v>121</v>
      </c>
      <c r="E1" s="66" t="s">
        <v>122</v>
      </c>
      <c r="F1" s="68">
        <v>38</v>
      </c>
      <c r="G1" s="68">
        <v>40</v>
      </c>
      <c r="H1" s="68">
        <v>42</v>
      </c>
      <c r="I1" s="68">
        <v>44</v>
      </c>
      <c r="J1" s="68">
        <v>46</v>
      </c>
      <c r="K1" s="68">
        <v>48</v>
      </c>
      <c r="L1" s="68">
        <v>50</v>
      </c>
      <c r="M1" s="68">
        <v>52</v>
      </c>
      <c r="N1" s="68">
        <v>54</v>
      </c>
      <c r="O1" s="68">
        <v>56</v>
      </c>
      <c r="P1" s="68">
        <v>58</v>
      </c>
      <c r="Q1" s="68">
        <v>60</v>
      </c>
      <c r="R1" s="68" t="s">
        <v>94</v>
      </c>
    </row>
    <row r="2" spans="1:18" ht="32.25" customHeight="1" x14ac:dyDescent="0.25">
      <c r="A2" s="69">
        <v>46108</v>
      </c>
      <c r="B2" s="70" t="s">
        <v>98</v>
      </c>
      <c r="C2" s="70" t="s">
        <v>100</v>
      </c>
      <c r="D2" s="70"/>
      <c r="E2" s="70"/>
      <c r="F2" s="72"/>
      <c r="G2" s="72"/>
      <c r="H2" s="72"/>
      <c r="I2" s="72"/>
      <c r="J2" s="72"/>
      <c r="K2" s="77">
        <v>1</v>
      </c>
      <c r="L2" s="77">
        <v>1</v>
      </c>
      <c r="M2" s="77">
        <v>1</v>
      </c>
      <c r="N2" s="77">
        <v>1</v>
      </c>
      <c r="O2" s="77"/>
      <c r="P2" s="72"/>
      <c r="Q2" s="72"/>
      <c r="R2" s="77">
        <f>SUM(F2:N2)</f>
        <v>4</v>
      </c>
    </row>
    <row r="3" spans="1:18" ht="32.25" customHeight="1" x14ac:dyDescent="0.25">
      <c r="A3" s="69">
        <v>46108</v>
      </c>
      <c r="B3" s="70" t="s">
        <v>98</v>
      </c>
      <c r="C3" s="70" t="s">
        <v>101</v>
      </c>
      <c r="D3" s="70"/>
      <c r="E3" s="70"/>
      <c r="F3" s="72"/>
      <c r="G3" s="72"/>
      <c r="H3" s="72"/>
      <c r="I3" s="72"/>
      <c r="J3" s="72"/>
      <c r="K3" s="72">
        <v>2</v>
      </c>
      <c r="L3" s="72">
        <v>3</v>
      </c>
      <c r="M3" s="72">
        <v>4</v>
      </c>
      <c r="N3" s="72">
        <v>1</v>
      </c>
      <c r="O3" s="72"/>
      <c r="P3" s="72"/>
      <c r="Q3" s="72"/>
      <c r="R3" s="77">
        <f t="shared" ref="R3:R65" si="0">SUM(F3:Q3)</f>
        <v>10</v>
      </c>
    </row>
    <row r="4" spans="1:18" ht="32.25" customHeight="1" x14ac:dyDescent="0.25">
      <c r="A4" s="69">
        <v>46108</v>
      </c>
      <c r="B4" s="70" t="s">
        <v>102</v>
      </c>
      <c r="C4" s="70" t="s">
        <v>99</v>
      </c>
      <c r="D4" s="70"/>
      <c r="E4" s="70"/>
      <c r="F4" s="72"/>
      <c r="G4" s="72"/>
      <c r="H4" s="72"/>
      <c r="I4" s="72"/>
      <c r="J4" s="72"/>
      <c r="K4" s="72">
        <v>2</v>
      </c>
      <c r="L4" s="72">
        <v>2</v>
      </c>
      <c r="M4" s="72">
        <v>1</v>
      </c>
      <c r="N4" s="72"/>
      <c r="O4" s="72"/>
      <c r="P4" s="72"/>
      <c r="Q4" s="72"/>
      <c r="R4" s="77">
        <f t="shared" si="0"/>
        <v>5</v>
      </c>
    </row>
    <row r="5" spans="1:18" ht="32.25" customHeight="1" x14ac:dyDescent="0.25">
      <c r="A5" s="69">
        <v>46108</v>
      </c>
      <c r="B5" s="70" t="s">
        <v>102</v>
      </c>
      <c r="C5" s="70" t="s">
        <v>100</v>
      </c>
      <c r="D5" s="70"/>
      <c r="E5" s="70"/>
      <c r="F5" s="72"/>
      <c r="G5" s="72"/>
      <c r="H5" s="72"/>
      <c r="I5" s="72"/>
      <c r="J5" s="72"/>
      <c r="K5" s="72"/>
      <c r="L5" s="72">
        <v>2</v>
      </c>
      <c r="M5" s="72">
        <v>2</v>
      </c>
      <c r="N5" s="72">
        <v>1</v>
      </c>
      <c r="O5" s="72"/>
      <c r="P5" s="72"/>
      <c r="Q5" s="72"/>
      <c r="R5" s="77">
        <f t="shared" si="0"/>
        <v>5</v>
      </c>
    </row>
    <row r="6" spans="1:18" ht="32.25" customHeight="1" x14ac:dyDescent="0.25">
      <c r="A6" s="69">
        <v>46108</v>
      </c>
      <c r="B6" s="70" t="s">
        <v>102</v>
      </c>
      <c r="C6" s="70" t="s">
        <v>101</v>
      </c>
      <c r="D6" s="70"/>
      <c r="E6" s="70"/>
      <c r="F6" s="72"/>
      <c r="G6" s="72"/>
      <c r="H6" s="72"/>
      <c r="I6" s="72"/>
      <c r="J6" s="72">
        <v>1</v>
      </c>
      <c r="K6" s="72">
        <v>6</v>
      </c>
      <c r="L6" s="72">
        <v>9</v>
      </c>
      <c r="M6" s="72">
        <v>10</v>
      </c>
      <c r="N6" s="72">
        <v>7</v>
      </c>
      <c r="O6" s="72">
        <v>5</v>
      </c>
      <c r="P6" s="72"/>
      <c r="Q6" s="72"/>
      <c r="R6" s="77">
        <f t="shared" si="0"/>
        <v>38</v>
      </c>
    </row>
    <row r="7" spans="1:18" ht="32.25" customHeight="1" x14ac:dyDescent="0.25">
      <c r="A7" s="69">
        <v>46108</v>
      </c>
      <c r="B7" s="70" t="s">
        <v>123</v>
      </c>
      <c r="C7" s="70" t="s">
        <v>100</v>
      </c>
      <c r="D7" s="70" t="s">
        <v>124</v>
      </c>
      <c r="E7" s="70"/>
      <c r="F7" s="72"/>
      <c r="G7" s="72"/>
      <c r="H7" s="72"/>
      <c r="I7" s="72"/>
      <c r="J7" s="72">
        <v>1</v>
      </c>
      <c r="K7" s="72">
        <v>1</v>
      </c>
      <c r="L7" s="72">
        <v>1</v>
      </c>
      <c r="M7" s="72"/>
      <c r="N7" s="72"/>
      <c r="O7" s="72"/>
      <c r="P7" s="72"/>
      <c r="Q7" s="72"/>
      <c r="R7" s="77">
        <f t="shared" si="0"/>
        <v>3</v>
      </c>
    </row>
    <row r="8" spans="1:18" ht="32.25" customHeight="1" x14ac:dyDescent="0.25">
      <c r="A8" s="69">
        <v>46108</v>
      </c>
      <c r="B8" s="70" t="s">
        <v>123</v>
      </c>
      <c r="C8" s="70" t="s">
        <v>106</v>
      </c>
      <c r="D8" s="70" t="s">
        <v>125</v>
      </c>
      <c r="E8" s="70"/>
      <c r="F8" s="72"/>
      <c r="G8" s="72"/>
      <c r="H8" s="72"/>
      <c r="I8" s="72"/>
      <c r="J8" s="72"/>
      <c r="K8" s="72">
        <v>1</v>
      </c>
      <c r="L8" s="72">
        <v>2</v>
      </c>
      <c r="M8" s="72">
        <v>2</v>
      </c>
      <c r="N8" s="72">
        <v>1</v>
      </c>
      <c r="O8" s="72">
        <v>1</v>
      </c>
      <c r="P8" s="72"/>
      <c r="Q8" s="72"/>
      <c r="R8" s="77">
        <f t="shared" si="0"/>
        <v>7</v>
      </c>
    </row>
    <row r="9" spans="1:18" ht="32.25" customHeight="1" x14ac:dyDescent="0.25">
      <c r="A9" s="69">
        <v>46108</v>
      </c>
      <c r="B9" s="70" t="s">
        <v>123</v>
      </c>
      <c r="C9" s="70" t="s">
        <v>100</v>
      </c>
      <c r="D9" s="70" t="s">
        <v>126</v>
      </c>
      <c r="E9" s="70"/>
      <c r="F9" s="72"/>
      <c r="G9" s="72"/>
      <c r="H9" s="72"/>
      <c r="I9" s="72"/>
      <c r="J9" s="72">
        <v>2</v>
      </c>
      <c r="K9" s="72">
        <v>2</v>
      </c>
      <c r="L9" s="72">
        <v>3</v>
      </c>
      <c r="M9" s="72">
        <v>2</v>
      </c>
      <c r="N9" s="72">
        <v>1</v>
      </c>
      <c r="O9" s="72"/>
      <c r="P9" s="72"/>
      <c r="Q9" s="72"/>
      <c r="R9" s="77">
        <f t="shared" si="0"/>
        <v>10</v>
      </c>
    </row>
    <row r="10" spans="1:18" ht="32.25" customHeight="1" x14ac:dyDescent="0.25">
      <c r="A10" s="69">
        <v>46108</v>
      </c>
      <c r="B10" s="70" t="s">
        <v>104</v>
      </c>
      <c r="C10" s="70" t="s">
        <v>100</v>
      </c>
      <c r="D10" s="70" t="s">
        <v>124</v>
      </c>
      <c r="E10" s="70"/>
      <c r="F10" s="72"/>
      <c r="G10" s="72"/>
      <c r="H10" s="72"/>
      <c r="I10" s="72"/>
      <c r="J10" s="72"/>
      <c r="K10" s="72"/>
      <c r="L10" s="72">
        <v>1</v>
      </c>
      <c r="M10" s="72">
        <v>1</v>
      </c>
      <c r="N10" s="72">
        <v>1</v>
      </c>
      <c r="O10" s="72"/>
      <c r="P10" s="72"/>
      <c r="Q10" s="72"/>
      <c r="R10" s="77">
        <f t="shared" si="0"/>
        <v>3</v>
      </c>
    </row>
    <row r="11" spans="1:18" ht="32.25" customHeight="1" x14ac:dyDescent="0.25">
      <c r="A11" s="69">
        <v>46108</v>
      </c>
      <c r="B11" s="70" t="s">
        <v>104</v>
      </c>
      <c r="C11" s="70" t="s">
        <v>106</v>
      </c>
      <c r="D11" s="70" t="s">
        <v>125</v>
      </c>
      <c r="E11" s="70"/>
      <c r="F11" s="72"/>
      <c r="G11" s="72"/>
      <c r="H11" s="72"/>
      <c r="I11" s="72"/>
      <c r="J11" s="72"/>
      <c r="K11" s="72">
        <v>1</v>
      </c>
      <c r="L11" s="72">
        <v>2</v>
      </c>
      <c r="M11" s="72">
        <v>3</v>
      </c>
      <c r="N11" s="72">
        <v>2</v>
      </c>
      <c r="O11" s="72"/>
      <c r="P11" s="72"/>
      <c r="Q11" s="72"/>
      <c r="R11" s="77">
        <f t="shared" si="0"/>
        <v>8</v>
      </c>
    </row>
    <row r="12" spans="1:18" ht="32.25" customHeight="1" x14ac:dyDescent="0.25">
      <c r="A12" s="69">
        <v>46108</v>
      </c>
      <c r="B12" s="70" t="s">
        <v>104</v>
      </c>
      <c r="C12" s="70" t="s">
        <v>100</v>
      </c>
      <c r="D12" s="70" t="s">
        <v>126</v>
      </c>
      <c r="E12" s="70"/>
      <c r="F12" s="72"/>
      <c r="G12" s="72"/>
      <c r="H12" s="72"/>
      <c r="I12" s="72"/>
      <c r="J12" s="72">
        <v>1</v>
      </c>
      <c r="K12" s="72">
        <v>9</v>
      </c>
      <c r="L12" s="72">
        <v>17</v>
      </c>
      <c r="M12" s="72">
        <v>19</v>
      </c>
      <c r="N12" s="72">
        <v>16</v>
      </c>
      <c r="O12" s="72">
        <v>11</v>
      </c>
      <c r="P12" s="72">
        <v>2</v>
      </c>
      <c r="Q12" s="72"/>
      <c r="R12" s="77">
        <f t="shared" si="0"/>
        <v>75</v>
      </c>
    </row>
    <row r="13" spans="1:18" ht="32.25" customHeight="1" x14ac:dyDescent="0.25">
      <c r="A13" s="69">
        <v>46108</v>
      </c>
      <c r="B13" s="70" t="s">
        <v>105</v>
      </c>
      <c r="C13" s="70" t="s">
        <v>100</v>
      </c>
      <c r="D13" s="70" t="s">
        <v>124</v>
      </c>
      <c r="E13" s="70"/>
      <c r="F13" s="72"/>
      <c r="G13" s="72"/>
      <c r="H13" s="72"/>
      <c r="I13" s="72"/>
      <c r="J13" s="72"/>
      <c r="K13" s="72">
        <v>1</v>
      </c>
      <c r="L13" s="72">
        <v>3</v>
      </c>
      <c r="M13" s="72">
        <v>3</v>
      </c>
      <c r="N13" s="72">
        <v>3</v>
      </c>
      <c r="O13" s="72">
        <v>2</v>
      </c>
      <c r="P13" s="72"/>
      <c r="Q13" s="72"/>
      <c r="R13" s="77">
        <f t="shared" si="0"/>
        <v>12</v>
      </c>
    </row>
    <row r="14" spans="1:18" ht="32.25" customHeight="1" x14ac:dyDescent="0.25">
      <c r="A14" s="69">
        <v>46108</v>
      </c>
      <c r="B14" s="70" t="s">
        <v>105</v>
      </c>
      <c r="C14" s="70" t="s">
        <v>106</v>
      </c>
      <c r="D14" s="70" t="s">
        <v>125</v>
      </c>
      <c r="E14" s="70"/>
      <c r="F14" s="72"/>
      <c r="G14" s="72"/>
      <c r="H14" s="72"/>
      <c r="I14" s="72"/>
      <c r="J14" s="72"/>
      <c r="K14" s="72">
        <v>1</v>
      </c>
      <c r="L14" s="72">
        <v>1</v>
      </c>
      <c r="M14" s="72">
        <v>2</v>
      </c>
      <c r="N14" s="72">
        <v>1</v>
      </c>
      <c r="O14" s="72"/>
      <c r="P14" s="72"/>
      <c r="Q14" s="72"/>
      <c r="R14" s="77">
        <f t="shared" si="0"/>
        <v>5</v>
      </c>
    </row>
    <row r="15" spans="1:18" ht="32.25" customHeight="1" x14ac:dyDescent="0.25">
      <c r="A15" s="69">
        <v>46108</v>
      </c>
      <c r="B15" s="70" t="s">
        <v>105</v>
      </c>
      <c r="C15" s="70" t="s">
        <v>100</v>
      </c>
      <c r="D15" s="70" t="s">
        <v>126</v>
      </c>
      <c r="E15" s="70"/>
      <c r="F15" s="72"/>
      <c r="G15" s="72"/>
      <c r="H15" s="72"/>
      <c r="I15" s="72"/>
      <c r="J15" s="72"/>
      <c r="K15" s="72">
        <v>1</v>
      </c>
      <c r="L15" s="72">
        <v>2</v>
      </c>
      <c r="M15" s="72">
        <v>2</v>
      </c>
      <c r="N15" s="72">
        <v>1</v>
      </c>
      <c r="O15" s="72">
        <v>2</v>
      </c>
      <c r="P15" s="72"/>
      <c r="Q15" s="72"/>
      <c r="R15" s="77">
        <f t="shared" si="0"/>
        <v>8</v>
      </c>
    </row>
    <row r="16" spans="1:18" ht="32.25" customHeight="1" x14ac:dyDescent="0.25">
      <c r="A16" s="69">
        <v>46108</v>
      </c>
      <c r="B16" s="70" t="s">
        <v>105</v>
      </c>
      <c r="C16" s="70" t="s">
        <v>96</v>
      </c>
      <c r="D16" s="70" t="s">
        <v>127</v>
      </c>
      <c r="E16" s="70"/>
      <c r="F16" s="72"/>
      <c r="G16" s="72"/>
      <c r="H16" s="72"/>
      <c r="I16" s="72"/>
      <c r="J16" s="72"/>
      <c r="K16" s="72">
        <v>3</v>
      </c>
      <c r="L16" s="72">
        <v>5</v>
      </c>
      <c r="M16" s="72">
        <v>4</v>
      </c>
      <c r="N16" s="72">
        <v>4</v>
      </c>
      <c r="O16" s="72">
        <v>2</v>
      </c>
      <c r="P16" s="72"/>
      <c r="Q16" s="72"/>
      <c r="R16" s="77">
        <f t="shared" si="0"/>
        <v>18</v>
      </c>
    </row>
    <row r="17" spans="1:18" ht="32.25" customHeight="1" x14ac:dyDescent="0.25">
      <c r="A17" s="69">
        <v>46108</v>
      </c>
      <c r="B17" s="70" t="s">
        <v>107</v>
      </c>
      <c r="C17" s="70" t="s">
        <v>100</v>
      </c>
      <c r="D17" s="70" t="s">
        <v>124</v>
      </c>
      <c r="E17" s="70"/>
      <c r="F17" s="72"/>
      <c r="G17" s="72"/>
      <c r="H17" s="72"/>
      <c r="I17" s="72"/>
      <c r="J17" s="72"/>
      <c r="K17" s="72"/>
      <c r="L17" s="72">
        <v>1</v>
      </c>
      <c r="M17" s="72">
        <v>1</v>
      </c>
      <c r="N17" s="72">
        <v>2</v>
      </c>
      <c r="O17" s="72">
        <v>1</v>
      </c>
      <c r="P17" s="72"/>
      <c r="Q17" s="72"/>
      <c r="R17" s="77">
        <f t="shared" si="0"/>
        <v>5</v>
      </c>
    </row>
    <row r="18" spans="1:18" ht="32.25" customHeight="1" x14ac:dyDescent="0.25">
      <c r="A18" s="69">
        <v>46108</v>
      </c>
      <c r="B18" s="70" t="s">
        <v>107</v>
      </c>
      <c r="C18" s="70" t="s">
        <v>106</v>
      </c>
      <c r="D18" s="70" t="s">
        <v>125</v>
      </c>
      <c r="E18" s="70"/>
      <c r="F18" s="72"/>
      <c r="G18" s="72"/>
      <c r="H18" s="72"/>
      <c r="I18" s="72"/>
      <c r="J18" s="72"/>
      <c r="K18" s="72">
        <v>1</v>
      </c>
      <c r="L18" s="72">
        <v>1</v>
      </c>
      <c r="M18" s="72">
        <v>1</v>
      </c>
      <c r="N18" s="72">
        <v>1</v>
      </c>
      <c r="O18" s="72"/>
      <c r="P18" s="72"/>
      <c r="Q18" s="72"/>
      <c r="R18" s="77">
        <f t="shared" si="0"/>
        <v>4</v>
      </c>
    </row>
    <row r="19" spans="1:18" ht="32.25" customHeight="1" x14ac:dyDescent="0.25">
      <c r="A19" s="69">
        <v>46108</v>
      </c>
      <c r="B19" s="70" t="s">
        <v>107</v>
      </c>
      <c r="C19" s="70" t="s">
        <v>100</v>
      </c>
      <c r="D19" s="70" t="s">
        <v>126</v>
      </c>
      <c r="E19" s="70"/>
      <c r="F19" s="72"/>
      <c r="G19" s="72"/>
      <c r="H19" s="72"/>
      <c r="I19" s="72"/>
      <c r="J19" s="72"/>
      <c r="K19" s="72">
        <v>5</v>
      </c>
      <c r="L19" s="72">
        <v>9</v>
      </c>
      <c r="M19" s="72">
        <v>9</v>
      </c>
      <c r="N19" s="72">
        <v>7</v>
      </c>
      <c r="O19" s="72">
        <v>5</v>
      </c>
      <c r="P19" s="72">
        <v>1</v>
      </c>
      <c r="Q19" s="72"/>
      <c r="R19" s="77">
        <f t="shared" si="0"/>
        <v>36</v>
      </c>
    </row>
    <row r="20" spans="1:18" ht="32.25" customHeight="1" x14ac:dyDescent="0.25">
      <c r="A20" s="69">
        <v>46108</v>
      </c>
      <c r="B20" s="70" t="s">
        <v>107</v>
      </c>
      <c r="C20" s="70" t="s">
        <v>96</v>
      </c>
      <c r="D20" s="70" t="s">
        <v>127</v>
      </c>
      <c r="E20" s="70"/>
      <c r="F20" s="72"/>
      <c r="G20" s="72"/>
      <c r="H20" s="72"/>
      <c r="I20" s="72"/>
      <c r="J20" s="72"/>
      <c r="K20" s="72">
        <v>1</v>
      </c>
      <c r="L20" s="72">
        <v>2</v>
      </c>
      <c r="M20" s="72">
        <v>2</v>
      </c>
      <c r="N20" s="72">
        <v>2</v>
      </c>
      <c r="O20" s="72"/>
      <c r="P20" s="72"/>
      <c r="Q20" s="72"/>
      <c r="R20" s="77">
        <f t="shared" si="0"/>
        <v>7</v>
      </c>
    </row>
    <row r="21" spans="1:18" ht="32.25" customHeight="1" x14ac:dyDescent="0.25">
      <c r="A21" s="69">
        <v>46108</v>
      </c>
      <c r="B21" s="70" t="s">
        <v>112</v>
      </c>
      <c r="C21" s="70" t="s">
        <v>100</v>
      </c>
      <c r="D21" s="70"/>
      <c r="E21" s="70"/>
      <c r="F21" s="72"/>
      <c r="G21" s="72"/>
      <c r="H21" s="72"/>
      <c r="I21" s="72"/>
      <c r="J21" s="72">
        <v>1</v>
      </c>
      <c r="K21" s="72">
        <v>8</v>
      </c>
      <c r="L21" s="72">
        <v>15</v>
      </c>
      <c r="M21" s="72">
        <v>17</v>
      </c>
      <c r="N21" s="72">
        <v>11</v>
      </c>
      <c r="O21" s="72">
        <v>7</v>
      </c>
      <c r="P21" s="72">
        <v>2</v>
      </c>
      <c r="Q21" s="72"/>
      <c r="R21" s="77">
        <f t="shared" si="0"/>
        <v>61</v>
      </c>
    </row>
    <row r="22" spans="1:18" ht="32.25" customHeight="1" x14ac:dyDescent="0.25">
      <c r="A22" s="69">
        <v>46108</v>
      </c>
      <c r="B22" s="70" t="s">
        <v>108</v>
      </c>
      <c r="C22" s="70" t="s">
        <v>100</v>
      </c>
      <c r="D22" s="70" t="s">
        <v>124</v>
      </c>
      <c r="E22" s="70"/>
      <c r="F22" s="72"/>
      <c r="G22" s="72"/>
      <c r="H22" s="72"/>
      <c r="I22" s="72"/>
      <c r="J22" s="72">
        <v>1</v>
      </c>
      <c r="K22" s="72">
        <v>1</v>
      </c>
      <c r="L22" s="72">
        <v>3</v>
      </c>
      <c r="M22" s="72">
        <v>5</v>
      </c>
      <c r="N22" s="72">
        <v>3</v>
      </c>
      <c r="O22" s="72">
        <v>3</v>
      </c>
      <c r="P22" s="72"/>
      <c r="Q22" s="72"/>
      <c r="R22" s="77">
        <f t="shared" si="0"/>
        <v>16</v>
      </c>
    </row>
    <row r="23" spans="1:18" ht="32.25" customHeight="1" x14ac:dyDescent="0.25">
      <c r="A23" s="69">
        <v>46108</v>
      </c>
      <c r="B23" s="70" t="s">
        <v>108</v>
      </c>
      <c r="C23" s="70" t="s">
        <v>106</v>
      </c>
      <c r="D23" s="70" t="s">
        <v>125</v>
      </c>
      <c r="E23" s="70"/>
      <c r="F23" s="72"/>
      <c r="G23" s="72"/>
      <c r="H23" s="72"/>
      <c r="I23" s="72"/>
      <c r="J23" s="72"/>
      <c r="K23" s="72">
        <v>1</v>
      </c>
      <c r="L23" s="72">
        <v>2</v>
      </c>
      <c r="M23" s="72">
        <v>1</v>
      </c>
      <c r="N23" s="72">
        <v>1</v>
      </c>
      <c r="O23" s="72"/>
      <c r="P23" s="72"/>
      <c r="Q23" s="72"/>
      <c r="R23" s="77">
        <f t="shared" si="0"/>
        <v>5</v>
      </c>
    </row>
    <row r="24" spans="1:18" ht="32.25" customHeight="1" x14ac:dyDescent="0.25">
      <c r="A24" s="69">
        <v>46108</v>
      </c>
      <c r="B24" s="70" t="s">
        <v>108</v>
      </c>
      <c r="C24" s="70" t="s">
        <v>100</v>
      </c>
      <c r="D24" s="70" t="s">
        <v>126</v>
      </c>
      <c r="E24" s="70"/>
      <c r="F24" s="72"/>
      <c r="G24" s="72"/>
      <c r="H24" s="72"/>
      <c r="I24" s="72"/>
      <c r="J24" s="72">
        <v>1</v>
      </c>
      <c r="K24" s="72">
        <v>2</v>
      </c>
      <c r="L24" s="72">
        <v>1</v>
      </c>
      <c r="M24" s="72">
        <v>3</v>
      </c>
      <c r="N24" s="72">
        <v>1</v>
      </c>
      <c r="O24" s="72">
        <v>2</v>
      </c>
      <c r="P24" s="72"/>
      <c r="Q24" s="72">
        <v>1</v>
      </c>
      <c r="R24" s="77">
        <f t="shared" si="0"/>
        <v>11</v>
      </c>
    </row>
    <row r="25" spans="1:18" ht="32.25" customHeight="1" x14ac:dyDescent="0.25">
      <c r="A25" s="69">
        <v>46108</v>
      </c>
      <c r="B25" s="70" t="s">
        <v>108</v>
      </c>
      <c r="C25" s="70" t="s">
        <v>96</v>
      </c>
      <c r="D25" s="70" t="s">
        <v>127</v>
      </c>
      <c r="E25" s="70"/>
      <c r="F25" s="72"/>
      <c r="G25" s="72"/>
      <c r="H25" s="72"/>
      <c r="I25" s="72"/>
      <c r="J25" s="72">
        <v>1</v>
      </c>
      <c r="K25" s="72">
        <v>1</v>
      </c>
      <c r="L25" s="72">
        <v>2</v>
      </c>
      <c r="M25" s="72">
        <v>2</v>
      </c>
      <c r="N25" s="72">
        <v>1</v>
      </c>
      <c r="O25" s="72">
        <v>1</v>
      </c>
      <c r="P25" s="72"/>
      <c r="Q25" s="72"/>
      <c r="R25" s="77">
        <f t="shared" si="0"/>
        <v>8</v>
      </c>
    </row>
    <row r="26" spans="1:18" ht="32.25" customHeight="1" x14ac:dyDescent="0.25">
      <c r="A26" s="69">
        <v>46108</v>
      </c>
      <c r="B26" s="70" t="s">
        <v>109</v>
      </c>
      <c r="C26" s="70" t="s">
        <v>100</v>
      </c>
      <c r="D26" s="70" t="s">
        <v>124</v>
      </c>
      <c r="E26" s="70"/>
      <c r="F26" s="72"/>
      <c r="G26" s="72"/>
      <c r="H26" s="72"/>
      <c r="I26" s="72"/>
      <c r="J26" s="72">
        <v>1</v>
      </c>
      <c r="K26" s="72">
        <v>4</v>
      </c>
      <c r="L26" s="72">
        <v>11</v>
      </c>
      <c r="M26" s="72">
        <v>12</v>
      </c>
      <c r="N26" s="72">
        <v>11</v>
      </c>
      <c r="O26" s="72">
        <v>6</v>
      </c>
      <c r="P26" s="72">
        <v>4</v>
      </c>
      <c r="Q26" s="72">
        <v>1</v>
      </c>
      <c r="R26" s="77">
        <f t="shared" si="0"/>
        <v>50</v>
      </c>
    </row>
    <row r="27" spans="1:18" ht="32.25" customHeight="1" x14ac:dyDescent="0.25">
      <c r="A27" s="69">
        <v>46108</v>
      </c>
      <c r="B27" s="70" t="s">
        <v>109</v>
      </c>
      <c r="C27" s="70" t="s">
        <v>106</v>
      </c>
      <c r="D27" s="70" t="s">
        <v>125</v>
      </c>
      <c r="E27" s="70"/>
      <c r="F27" s="72"/>
      <c r="G27" s="72"/>
      <c r="H27" s="72"/>
      <c r="I27" s="72"/>
      <c r="J27" s="72"/>
      <c r="K27" s="72">
        <v>1</v>
      </c>
      <c r="L27" s="72">
        <v>2</v>
      </c>
      <c r="M27" s="72">
        <v>4</v>
      </c>
      <c r="N27" s="72">
        <v>4</v>
      </c>
      <c r="O27" s="72">
        <v>2</v>
      </c>
      <c r="P27" s="72">
        <v>1</v>
      </c>
      <c r="Q27" s="72"/>
      <c r="R27" s="77">
        <f t="shared" si="0"/>
        <v>14</v>
      </c>
    </row>
    <row r="28" spans="1:18" ht="32.25" customHeight="1" x14ac:dyDescent="0.25">
      <c r="A28" s="69">
        <v>46108</v>
      </c>
      <c r="B28" s="70" t="s">
        <v>109</v>
      </c>
      <c r="C28" s="70" t="s">
        <v>100</v>
      </c>
      <c r="D28" s="70" t="s">
        <v>126</v>
      </c>
      <c r="E28" s="70"/>
      <c r="F28" s="72"/>
      <c r="G28" s="72"/>
      <c r="H28" s="72"/>
      <c r="I28" s="72"/>
      <c r="J28" s="72"/>
      <c r="K28" s="72">
        <v>2</v>
      </c>
      <c r="L28" s="72">
        <v>2</v>
      </c>
      <c r="M28" s="72">
        <v>3</v>
      </c>
      <c r="N28" s="72">
        <v>2</v>
      </c>
      <c r="O28" s="72">
        <v>1</v>
      </c>
      <c r="P28" s="72"/>
      <c r="Q28" s="72"/>
      <c r="R28" s="77">
        <f t="shared" si="0"/>
        <v>10</v>
      </c>
    </row>
    <row r="29" spans="1:18" ht="32.25" customHeight="1" x14ac:dyDescent="0.25">
      <c r="A29" s="69">
        <v>46108</v>
      </c>
      <c r="B29" s="70" t="s">
        <v>110</v>
      </c>
      <c r="C29" s="70" t="s">
        <v>100</v>
      </c>
      <c r="D29" s="70"/>
      <c r="E29" s="78"/>
      <c r="F29" s="72"/>
      <c r="G29" s="72"/>
      <c r="H29" s="72"/>
      <c r="I29" s="72"/>
      <c r="J29" s="72"/>
      <c r="K29" s="72"/>
      <c r="L29" s="72">
        <v>1</v>
      </c>
      <c r="M29" s="72">
        <v>1</v>
      </c>
      <c r="N29" s="72">
        <v>1</v>
      </c>
      <c r="O29" s="72">
        <v>1</v>
      </c>
      <c r="P29" s="72">
        <v>1</v>
      </c>
      <c r="Q29" s="72"/>
      <c r="R29" s="77">
        <f t="shared" si="0"/>
        <v>5</v>
      </c>
    </row>
    <row r="30" spans="1:18" ht="32.25" customHeight="1" x14ac:dyDescent="0.25">
      <c r="A30" s="69">
        <v>46108</v>
      </c>
      <c r="B30" s="70" t="s">
        <v>110</v>
      </c>
      <c r="C30" s="70" t="s">
        <v>101</v>
      </c>
      <c r="D30" s="70"/>
      <c r="E30" s="78"/>
      <c r="F30" s="72"/>
      <c r="G30" s="72"/>
      <c r="H30" s="72"/>
      <c r="I30" s="72"/>
      <c r="J30" s="72"/>
      <c r="K30" s="72">
        <v>7</v>
      </c>
      <c r="L30" s="72">
        <v>10</v>
      </c>
      <c r="M30" s="72">
        <v>11</v>
      </c>
      <c r="N30" s="72">
        <v>6</v>
      </c>
      <c r="O30" s="72">
        <v>1</v>
      </c>
      <c r="P30" s="72">
        <v>1</v>
      </c>
      <c r="Q30" s="72"/>
      <c r="R30" s="77">
        <f t="shared" si="0"/>
        <v>36</v>
      </c>
    </row>
    <row r="31" spans="1:18" ht="32.25" customHeight="1" x14ac:dyDescent="0.25">
      <c r="A31" s="69">
        <v>46108</v>
      </c>
      <c r="B31" s="70" t="s">
        <v>111</v>
      </c>
      <c r="C31" s="70" t="s">
        <v>106</v>
      </c>
      <c r="D31" s="70"/>
      <c r="E31" s="70" t="s">
        <v>128</v>
      </c>
      <c r="F31" s="72"/>
      <c r="G31" s="72"/>
      <c r="H31" s="72"/>
      <c r="I31" s="72"/>
      <c r="J31" s="72"/>
      <c r="K31" s="72"/>
      <c r="L31" s="72">
        <v>1</v>
      </c>
      <c r="M31" s="72">
        <v>1</v>
      </c>
      <c r="N31" s="72"/>
      <c r="O31" s="72"/>
      <c r="P31" s="72"/>
      <c r="Q31" s="72"/>
      <c r="R31" s="77">
        <f t="shared" si="0"/>
        <v>2</v>
      </c>
    </row>
    <row r="32" spans="1:18" ht="32.25" customHeight="1" x14ac:dyDescent="0.25">
      <c r="A32" s="69">
        <v>46108</v>
      </c>
      <c r="B32" s="70" t="s">
        <v>111</v>
      </c>
      <c r="C32" s="70" t="s">
        <v>100</v>
      </c>
      <c r="D32" s="70"/>
      <c r="E32" s="78" t="s">
        <v>129</v>
      </c>
      <c r="F32" s="72"/>
      <c r="G32" s="72"/>
      <c r="H32" s="72"/>
      <c r="I32" s="72"/>
      <c r="J32" s="72"/>
      <c r="K32" s="72">
        <v>1</v>
      </c>
      <c r="L32" s="72">
        <v>1</v>
      </c>
      <c r="M32" s="72">
        <v>1</v>
      </c>
      <c r="N32" s="72"/>
      <c r="O32" s="72"/>
      <c r="P32" s="72"/>
      <c r="Q32" s="72"/>
      <c r="R32" s="77">
        <f t="shared" si="0"/>
        <v>3</v>
      </c>
    </row>
    <row r="33" spans="1:18" ht="32.25" customHeight="1" x14ac:dyDescent="0.25">
      <c r="A33" s="69">
        <v>46108</v>
      </c>
      <c r="B33" s="70" t="s">
        <v>114</v>
      </c>
      <c r="C33" s="70" t="s">
        <v>100</v>
      </c>
      <c r="D33" s="70" t="s">
        <v>124</v>
      </c>
      <c r="E33" s="70"/>
      <c r="F33" s="72"/>
      <c r="G33" s="72">
        <v>3</v>
      </c>
      <c r="H33" s="72">
        <v>2</v>
      </c>
      <c r="I33" s="72">
        <v>1</v>
      </c>
      <c r="J33" s="72"/>
      <c r="K33" s="72"/>
      <c r="L33" s="72"/>
      <c r="M33" s="72"/>
      <c r="N33" s="72"/>
      <c r="O33" s="72"/>
      <c r="P33" s="72"/>
      <c r="Q33" s="72"/>
      <c r="R33" s="77">
        <f t="shared" si="0"/>
        <v>6</v>
      </c>
    </row>
    <row r="34" spans="1:18" ht="32.25" customHeight="1" x14ac:dyDescent="0.25">
      <c r="A34" s="69">
        <v>46108</v>
      </c>
      <c r="B34" s="70" t="s">
        <v>114</v>
      </c>
      <c r="C34" s="70" t="s">
        <v>106</v>
      </c>
      <c r="D34" s="70" t="s">
        <v>125</v>
      </c>
      <c r="E34" s="70"/>
      <c r="F34" s="72"/>
      <c r="G34" s="72"/>
      <c r="H34" s="72">
        <v>1</v>
      </c>
      <c r="I34" s="72">
        <v>1</v>
      </c>
      <c r="J34" s="72"/>
      <c r="K34" s="72"/>
      <c r="L34" s="72"/>
      <c r="M34" s="72"/>
      <c r="N34" s="72"/>
      <c r="O34" s="72"/>
      <c r="P34" s="72"/>
      <c r="Q34" s="72"/>
      <c r="R34" s="77">
        <f t="shared" si="0"/>
        <v>2</v>
      </c>
    </row>
    <row r="35" spans="1:18" ht="32.25" customHeight="1" x14ac:dyDescent="0.25">
      <c r="A35" s="69">
        <v>46108</v>
      </c>
      <c r="B35" s="70" t="s">
        <v>114</v>
      </c>
      <c r="C35" s="70" t="s">
        <v>100</v>
      </c>
      <c r="D35" s="70" t="s">
        <v>130</v>
      </c>
      <c r="E35" s="70"/>
      <c r="F35" s="72">
        <v>1</v>
      </c>
      <c r="G35" s="72">
        <v>1</v>
      </c>
      <c r="H35" s="72">
        <v>1</v>
      </c>
      <c r="I35" s="72"/>
      <c r="J35" s="72"/>
      <c r="K35" s="72"/>
      <c r="L35" s="72"/>
      <c r="M35" s="72"/>
      <c r="N35" s="72"/>
      <c r="O35" s="72"/>
      <c r="P35" s="72"/>
      <c r="Q35" s="72"/>
      <c r="R35" s="77">
        <f t="shared" si="0"/>
        <v>3</v>
      </c>
    </row>
    <row r="36" spans="1:18" ht="32.25" customHeight="1" x14ac:dyDescent="0.25">
      <c r="A36" s="69">
        <v>46108</v>
      </c>
      <c r="B36" s="70" t="s">
        <v>115</v>
      </c>
      <c r="C36" s="70" t="s">
        <v>100</v>
      </c>
      <c r="D36" s="70" t="s">
        <v>124</v>
      </c>
      <c r="E36" s="70"/>
      <c r="F36" s="72">
        <v>2</v>
      </c>
      <c r="G36" s="72">
        <v>2</v>
      </c>
      <c r="H36" s="72">
        <v>3</v>
      </c>
      <c r="I36" s="72">
        <v>1</v>
      </c>
      <c r="J36" s="72"/>
      <c r="K36" s="72"/>
      <c r="L36" s="72"/>
      <c r="M36" s="72"/>
      <c r="N36" s="72"/>
      <c r="O36" s="72"/>
      <c r="P36" s="72"/>
      <c r="Q36" s="72"/>
      <c r="R36" s="77">
        <f t="shared" si="0"/>
        <v>8</v>
      </c>
    </row>
    <row r="37" spans="1:18" ht="32.25" customHeight="1" x14ac:dyDescent="0.25">
      <c r="A37" s="69">
        <v>46108</v>
      </c>
      <c r="B37" s="70" t="s">
        <v>115</v>
      </c>
      <c r="C37" s="70" t="s">
        <v>106</v>
      </c>
      <c r="D37" s="70" t="s">
        <v>125</v>
      </c>
      <c r="E37" s="70"/>
      <c r="F37" s="72">
        <v>1</v>
      </c>
      <c r="G37" s="72">
        <v>2</v>
      </c>
      <c r="H37" s="72">
        <v>9</v>
      </c>
      <c r="I37" s="72">
        <v>2</v>
      </c>
      <c r="J37" s="72">
        <v>5</v>
      </c>
      <c r="K37" s="72"/>
      <c r="L37" s="72"/>
      <c r="M37" s="72"/>
      <c r="N37" s="72"/>
      <c r="O37" s="72"/>
      <c r="P37" s="72"/>
      <c r="Q37" s="72"/>
      <c r="R37" s="77">
        <f t="shared" si="0"/>
        <v>19</v>
      </c>
    </row>
    <row r="38" spans="1:18" ht="32.25" customHeight="1" x14ac:dyDescent="0.25">
      <c r="A38" s="69">
        <v>46108</v>
      </c>
      <c r="B38" s="70" t="s">
        <v>115</v>
      </c>
      <c r="C38" s="70" t="s">
        <v>96</v>
      </c>
      <c r="D38" s="70" t="s">
        <v>131</v>
      </c>
      <c r="E38" s="70"/>
      <c r="F38" s="72">
        <v>1</v>
      </c>
      <c r="G38" s="72">
        <v>3</v>
      </c>
      <c r="H38" s="72">
        <v>6</v>
      </c>
      <c r="I38" s="72">
        <v>4</v>
      </c>
      <c r="J38" s="72">
        <v>4</v>
      </c>
      <c r="K38" s="72">
        <v>1</v>
      </c>
      <c r="L38" s="72"/>
      <c r="M38" s="72"/>
      <c r="N38" s="72"/>
      <c r="O38" s="72"/>
      <c r="P38" s="72"/>
      <c r="Q38" s="72"/>
      <c r="R38" s="77">
        <f t="shared" si="0"/>
        <v>19</v>
      </c>
    </row>
    <row r="39" spans="1:18" ht="32.25" customHeight="1" x14ac:dyDescent="0.25">
      <c r="A39" s="69">
        <v>46108</v>
      </c>
      <c r="B39" s="70" t="s">
        <v>115</v>
      </c>
      <c r="C39" s="70" t="s">
        <v>100</v>
      </c>
      <c r="D39" s="70" t="s">
        <v>130</v>
      </c>
      <c r="E39" s="70"/>
      <c r="F39" s="72">
        <v>3</v>
      </c>
      <c r="G39" s="72">
        <v>25</v>
      </c>
      <c r="H39" s="72">
        <v>32</v>
      </c>
      <c r="I39" s="72">
        <v>26</v>
      </c>
      <c r="J39" s="72">
        <v>12</v>
      </c>
      <c r="K39" s="72">
        <v>1</v>
      </c>
      <c r="L39" s="72"/>
      <c r="M39" s="72"/>
      <c r="N39" s="72"/>
      <c r="O39" s="72"/>
      <c r="P39" s="72"/>
      <c r="Q39" s="72"/>
      <c r="R39" s="77">
        <f t="shared" si="0"/>
        <v>99</v>
      </c>
    </row>
    <row r="40" spans="1:18" ht="32.25" customHeight="1" x14ac:dyDescent="0.25">
      <c r="A40" s="69">
        <v>46108</v>
      </c>
      <c r="B40" s="70" t="s">
        <v>116</v>
      </c>
      <c r="C40" s="70" t="s">
        <v>99</v>
      </c>
      <c r="D40" s="70"/>
      <c r="E40" s="70"/>
      <c r="F40" s="72"/>
      <c r="G40" s="72">
        <v>1</v>
      </c>
      <c r="H40" s="72">
        <v>2</v>
      </c>
      <c r="I40" s="72">
        <v>2</v>
      </c>
      <c r="J40" s="72"/>
      <c r="K40" s="72"/>
      <c r="L40" s="72"/>
      <c r="M40" s="72"/>
      <c r="N40" s="72"/>
      <c r="O40" s="72"/>
      <c r="P40" s="72"/>
      <c r="Q40" s="72"/>
      <c r="R40" s="77">
        <f t="shared" si="0"/>
        <v>5</v>
      </c>
    </row>
    <row r="41" spans="1:18" ht="32.25" customHeight="1" x14ac:dyDescent="0.25">
      <c r="A41" s="69">
        <v>46108</v>
      </c>
      <c r="B41" s="70" t="s">
        <v>116</v>
      </c>
      <c r="C41" s="70" t="s">
        <v>100</v>
      </c>
      <c r="D41" s="70"/>
      <c r="E41" s="70"/>
      <c r="F41" s="72">
        <v>1</v>
      </c>
      <c r="G41" s="72">
        <v>2</v>
      </c>
      <c r="H41" s="72">
        <v>3</v>
      </c>
      <c r="I41" s="72">
        <v>2</v>
      </c>
      <c r="J41" s="72">
        <v>2</v>
      </c>
      <c r="K41" s="72"/>
      <c r="L41" s="72"/>
      <c r="M41" s="72"/>
      <c r="N41" s="72"/>
      <c r="O41" s="72"/>
      <c r="P41" s="72"/>
      <c r="Q41" s="72"/>
      <c r="R41" s="77">
        <f t="shared" si="0"/>
        <v>10</v>
      </c>
    </row>
    <row r="42" spans="1:18" ht="32.25" customHeight="1" x14ac:dyDescent="0.25">
      <c r="A42" s="69">
        <v>46108</v>
      </c>
      <c r="B42" s="70" t="s">
        <v>116</v>
      </c>
      <c r="C42" s="70" t="s">
        <v>117</v>
      </c>
      <c r="D42" s="70"/>
      <c r="E42" s="70"/>
      <c r="F42" s="72"/>
      <c r="G42" s="72">
        <v>5</v>
      </c>
      <c r="H42" s="72">
        <v>11</v>
      </c>
      <c r="I42" s="72">
        <v>13</v>
      </c>
      <c r="J42" s="72">
        <v>8</v>
      </c>
      <c r="K42" s="72">
        <v>1</v>
      </c>
      <c r="L42" s="72"/>
      <c r="M42" s="72"/>
      <c r="N42" s="72"/>
      <c r="O42" s="72"/>
      <c r="P42" s="72"/>
      <c r="Q42" s="72"/>
      <c r="R42" s="77">
        <f t="shared" si="0"/>
        <v>38</v>
      </c>
    </row>
    <row r="43" spans="1:18" ht="32.25" customHeight="1" x14ac:dyDescent="0.25">
      <c r="A43" s="69">
        <v>46108</v>
      </c>
      <c r="B43" s="70" t="s">
        <v>118</v>
      </c>
      <c r="C43" s="70" t="s">
        <v>106</v>
      </c>
      <c r="D43" s="70"/>
      <c r="E43" s="78" t="s">
        <v>132</v>
      </c>
      <c r="F43" s="72"/>
      <c r="G43" s="72">
        <v>1</v>
      </c>
      <c r="H43" s="72">
        <v>1</v>
      </c>
      <c r="I43" s="72">
        <v>1</v>
      </c>
      <c r="J43" s="72"/>
      <c r="K43" s="72"/>
      <c r="L43" s="72"/>
      <c r="M43" s="72"/>
      <c r="N43" s="72"/>
      <c r="O43" s="72"/>
      <c r="P43" s="72"/>
      <c r="Q43" s="72"/>
      <c r="R43" s="77">
        <f t="shared" si="0"/>
        <v>3</v>
      </c>
    </row>
    <row r="44" spans="1:18" ht="32.25" customHeight="1" x14ac:dyDescent="0.25">
      <c r="A44" s="69">
        <v>46108</v>
      </c>
      <c r="B44" s="70" t="s">
        <v>118</v>
      </c>
      <c r="C44" s="70" t="s">
        <v>119</v>
      </c>
      <c r="D44" s="70"/>
      <c r="E44" s="78" t="s">
        <v>133</v>
      </c>
      <c r="F44" s="72">
        <v>1</v>
      </c>
      <c r="G44" s="72">
        <v>6</v>
      </c>
      <c r="H44" s="72">
        <v>8</v>
      </c>
      <c r="I44" s="72">
        <v>5</v>
      </c>
      <c r="J44" s="72"/>
      <c r="K44" s="72"/>
      <c r="L44" s="72"/>
      <c r="M44" s="72"/>
      <c r="N44" s="72"/>
      <c r="O44" s="72"/>
      <c r="P44" s="72"/>
      <c r="Q44" s="72"/>
      <c r="R44" s="77">
        <f t="shared" si="0"/>
        <v>20</v>
      </c>
    </row>
    <row r="45" spans="1:18" ht="32.25" customHeight="1" x14ac:dyDescent="0.25">
      <c r="A45" s="69">
        <v>46108</v>
      </c>
      <c r="B45" s="70" t="s">
        <v>118</v>
      </c>
      <c r="C45" s="70" t="s">
        <v>100</v>
      </c>
      <c r="D45" s="70"/>
      <c r="E45" s="78" t="s">
        <v>133</v>
      </c>
      <c r="F45" s="72"/>
      <c r="G45" s="72"/>
      <c r="H45" s="72">
        <v>1</v>
      </c>
      <c r="I45" s="72"/>
      <c r="J45" s="72"/>
      <c r="K45" s="72"/>
      <c r="L45" s="72"/>
      <c r="M45" s="72"/>
      <c r="N45" s="72"/>
      <c r="O45" s="72"/>
      <c r="P45" s="72"/>
      <c r="Q45" s="72"/>
      <c r="R45" s="77">
        <f t="shared" si="0"/>
        <v>1</v>
      </c>
    </row>
    <row r="46" spans="1:18" ht="32.25" customHeight="1" x14ac:dyDescent="0.25">
      <c r="A46" s="69">
        <v>46108</v>
      </c>
      <c r="B46" s="70" t="s">
        <v>120</v>
      </c>
      <c r="C46" s="70" t="s">
        <v>99</v>
      </c>
      <c r="D46" s="70"/>
      <c r="E46" s="70"/>
      <c r="F46" s="72"/>
      <c r="G46" s="72">
        <v>2</v>
      </c>
      <c r="H46" s="72">
        <v>3</v>
      </c>
      <c r="I46" s="72">
        <v>1</v>
      </c>
      <c r="J46" s="72"/>
      <c r="K46" s="72"/>
      <c r="L46" s="72"/>
      <c r="M46" s="72"/>
      <c r="N46" s="72"/>
      <c r="O46" s="72"/>
      <c r="P46" s="72"/>
      <c r="Q46" s="72"/>
      <c r="R46" s="77">
        <f t="shared" si="0"/>
        <v>6</v>
      </c>
    </row>
    <row r="47" spans="1:18" ht="32.25" customHeight="1" x14ac:dyDescent="0.25">
      <c r="A47" s="69">
        <v>46108</v>
      </c>
      <c r="B47" s="70" t="s">
        <v>120</v>
      </c>
      <c r="C47" s="70" t="s">
        <v>100</v>
      </c>
      <c r="D47" s="70"/>
      <c r="E47" s="70"/>
      <c r="F47" s="72"/>
      <c r="G47" s="72"/>
      <c r="H47" s="72">
        <v>1</v>
      </c>
      <c r="I47" s="72">
        <v>1</v>
      </c>
      <c r="J47" s="72"/>
      <c r="K47" s="72"/>
      <c r="L47" s="72"/>
      <c r="M47" s="72"/>
      <c r="N47" s="72"/>
      <c r="O47" s="72"/>
      <c r="P47" s="72"/>
      <c r="Q47" s="72"/>
      <c r="R47" s="77">
        <f t="shared" si="0"/>
        <v>2</v>
      </c>
    </row>
    <row r="48" spans="1:18" ht="32.25" customHeight="1" x14ac:dyDescent="0.25">
      <c r="A48" s="69">
        <v>46108</v>
      </c>
      <c r="B48" s="70" t="s">
        <v>102</v>
      </c>
      <c r="C48" s="70" t="s">
        <v>101</v>
      </c>
      <c r="D48" s="70"/>
      <c r="E48" s="70"/>
      <c r="F48" s="72"/>
      <c r="G48" s="72"/>
      <c r="H48" s="72"/>
      <c r="I48" s="72"/>
      <c r="J48" s="72">
        <v>1</v>
      </c>
      <c r="K48" s="72">
        <v>2</v>
      </c>
      <c r="L48" s="72">
        <v>2</v>
      </c>
      <c r="M48" s="72">
        <v>2</v>
      </c>
      <c r="N48" s="72">
        <v>2</v>
      </c>
      <c r="O48" s="72"/>
      <c r="P48" s="72"/>
      <c r="Q48" s="72"/>
      <c r="R48" s="77">
        <f t="shared" si="0"/>
        <v>9</v>
      </c>
    </row>
    <row r="49" spans="1:18" ht="32.25" customHeight="1" x14ac:dyDescent="0.25">
      <c r="A49" s="69">
        <v>46108</v>
      </c>
      <c r="B49" s="70" t="s">
        <v>104</v>
      </c>
      <c r="C49" s="70" t="s">
        <v>100</v>
      </c>
      <c r="D49" s="70" t="s">
        <v>126</v>
      </c>
      <c r="E49" s="70"/>
      <c r="F49" s="72"/>
      <c r="G49" s="72"/>
      <c r="H49" s="72"/>
      <c r="I49" s="72"/>
      <c r="J49" s="72"/>
      <c r="K49" s="72"/>
      <c r="L49" s="72">
        <v>1</v>
      </c>
      <c r="M49" s="72">
        <v>1</v>
      </c>
      <c r="N49" s="72">
        <v>1</v>
      </c>
      <c r="O49" s="72"/>
      <c r="P49" s="72"/>
      <c r="Q49" s="72"/>
      <c r="R49" s="77">
        <f t="shared" si="0"/>
        <v>3</v>
      </c>
    </row>
    <row r="50" spans="1:18" ht="32.25" customHeight="1" x14ac:dyDescent="0.25">
      <c r="A50" s="69">
        <v>46108</v>
      </c>
      <c r="B50" s="70" t="s">
        <v>105</v>
      </c>
      <c r="C50" s="70" t="s">
        <v>100</v>
      </c>
      <c r="D50" s="70" t="s">
        <v>124</v>
      </c>
      <c r="E50" s="70"/>
      <c r="F50" s="72"/>
      <c r="G50" s="72"/>
      <c r="H50" s="72"/>
      <c r="I50" s="72"/>
      <c r="J50" s="72"/>
      <c r="K50" s="72"/>
      <c r="L50" s="72">
        <v>1</v>
      </c>
      <c r="M50" s="72">
        <v>1</v>
      </c>
      <c r="N50" s="72">
        <v>2</v>
      </c>
      <c r="O50" s="72">
        <v>1</v>
      </c>
      <c r="P50" s="72"/>
      <c r="Q50" s="72"/>
      <c r="R50" s="77">
        <f t="shared" si="0"/>
        <v>5</v>
      </c>
    </row>
    <row r="51" spans="1:18" ht="32.25" customHeight="1" x14ac:dyDescent="0.25">
      <c r="A51" s="69">
        <v>46108</v>
      </c>
      <c r="B51" s="70" t="s">
        <v>105</v>
      </c>
      <c r="C51" s="70" t="s">
        <v>106</v>
      </c>
      <c r="D51" s="70" t="s">
        <v>125</v>
      </c>
      <c r="E51" s="70"/>
      <c r="F51" s="72"/>
      <c r="G51" s="72"/>
      <c r="H51" s="72"/>
      <c r="I51" s="72"/>
      <c r="J51" s="72"/>
      <c r="K51" s="72">
        <v>1</v>
      </c>
      <c r="L51" s="72">
        <v>1</v>
      </c>
      <c r="M51" s="72"/>
      <c r="N51" s="72"/>
      <c r="O51" s="72"/>
      <c r="P51" s="72"/>
      <c r="Q51" s="72"/>
      <c r="R51" s="77">
        <f t="shared" si="0"/>
        <v>2</v>
      </c>
    </row>
    <row r="52" spans="1:18" ht="32.25" customHeight="1" x14ac:dyDescent="0.25">
      <c r="A52" s="69">
        <v>46108</v>
      </c>
      <c r="B52" s="70" t="s">
        <v>105</v>
      </c>
      <c r="C52" s="70" t="s">
        <v>100</v>
      </c>
      <c r="D52" s="70" t="s">
        <v>126</v>
      </c>
      <c r="E52" s="70"/>
      <c r="F52" s="72"/>
      <c r="G52" s="72"/>
      <c r="H52" s="72"/>
      <c r="I52" s="72"/>
      <c r="J52" s="72"/>
      <c r="K52" s="72">
        <v>2</v>
      </c>
      <c r="L52" s="72">
        <v>2</v>
      </c>
      <c r="M52" s="72">
        <v>3</v>
      </c>
      <c r="N52" s="72">
        <v>3</v>
      </c>
      <c r="O52" s="72">
        <v>1</v>
      </c>
      <c r="P52" s="72"/>
      <c r="Q52" s="72"/>
      <c r="R52" s="77">
        <f t="shared" si="0"/>
        <v>11</v>
      </c>
    </row>
    <row r="53" spans="1:18" ht="32.25" customHeight="1" x14ac:dyDescent="0.25">
      <c r="A53" s="69">
        <v>46108</v>
      </c>
      <c r="B53" s="70" t="s">
        <v>105</v>
      </c>
      <c r="C53" s="70" t="s">
        <v>96</v>
      </c>
      <c r="D53" s="70" t="s">
        <v>127</v>
      </c>
      <c r="E53" s="70"/>
      <c r="F53" s="72"/>
      <c r="G53" s="72"/>
      <c r="H53" s="72"/>
      <c r="I53" s="72"/>
      <c r="J53" s="72"/>
      <c r="K53" s="72"/>
      <c r="L53" s="72">
        <v>1</v>
      </c>
      <c r="M53" s="72">
        <v>1</v>
      </c>
      <c r="N53" s="72"/>
      <c r="O53" s="72"/>
      <c r="P53" s="72"/>
      <c r="Q53" s="72"/>
      <c r="R53" s="77">
        <f t="shared" si="0"/>
        <v>2</v>
      </c>
    </row>
    <row r="54" spans="1:18" ht="32.25" customHeight="1" x14ac:dyDescent="0.25">
      <c r="A54" s="69">
        <v>46108</v>
      </c>
      <c r="B54" s="70" t="s">
        <v>107</v>
      </c>
      <c r="C54" s="70" t="s">
        <v>100</v>
      </c>
      <c r="D54" s="70" t="s">
        <v>124</v>
      </c>
      <c r="E54" s="78"/>
      <c r="F54" s="72"/>
      <c r="G54" s="72"/>
      <c r="H54" s="72"/>
      <c r="I54" s="72"/>
      <c r="J54" s="72"/>
      <c r="K54" s="72">
        <v>1</v>
      </c>
      <c r="L54" s="72">
        <v>1</v>
      </c>
      <c r="M54" s="72">
        <v>2</v>
      </c>
      <c r="N54" s="72">
        <v>1</v>
      </c>
      <c r="O54" s="72">
        <v>1</v>
      </c>
      <c r="P54" s="72"/>
      <c r="Q54" s="72"/>
      <c r="R54" s="77">
        <f t="shared" si="0"/>
        <v>6</v>
      </c>
    </row>
    <row r="55" spans="1:18" ht="32.25" customHeight="1" x14ac:dyDescent="0.25">
      <c r="A55" s="69">
        <v>46108</v>
      </c>
      <c r="B55" s="70" t="s">
        <v>109</v>
      </c>
      <c r="C55" s="70" t="s">
        <v>100</v>
      </c>
      <c r="D55" s="70" t="s">
        <v>124</v>
      </c>
      <c r="E55" s="70"/>
      <c r="F55" s="72"/>
      <c r="G55" s="72"/>
      <c r="H55" s="72"/>
      <c r="I55" s="72"/>
      <c r="J55" s="72">
        <v>1</v>
      </c>
      <c r="K55" s="72">
        <v>2</v>
      </c>
      <c r="L55" s="72">
        <v>2</v>
      </c>
      <c r="M55" s="72">
        <v>2</v>
      </c>
      <c r="N55" s="72">
        <v>2</v>
      </c>
      <c r="O55" s="72"/>
      <c r="P55" s="72"/>
      <c r="Q55" s="72"/>
      <c r="R55" s="77">
        <f t="shared" si="0"/>
        <v>9</v>
      </c>
    </row>
    <row r="56" spans="1:18" ht="32.25" customHeight="1" x14ac:dyDescent="0.25">
      <c r="A56" s="69">
        <v>46108</v>
      </c>
      <c r="B56" s="70" t="s">
        <v>111</v>
      </c>
      <c r="C56" s="70" t="s">
        <v>106</v>
      </c>
      <c r="D56" s="70"/>
      <c r="E56" s="70" t="s">
        <v>128</v>
      </c>
      <c r="F56" s="72"/>
      <c r="G56" s="72"/>
      <c r="H56" s="72"/>
      <c r="I56" s="72"/>
      <c r="J56" s="72"/>
      <c r="K56" s="72"/>
      <c r="L56" s="72">
        <v>1</v>
      </c>
      <c r="M56" s="72">
        <v>1</v>
      </c>
      <c r="N56" s="72"/>
      <c r="O56" s="72"/>
      <c r="P56" s="72"/>
      <c r="Q56" s="72"/>
      <c r="R56" s="77">
        <f t="shared" si="0"/>
        <v>2</v>
      </c>
    </row>
    <row r="57" spans="1:18" ht="32.25" customHeight="1" x14ac:dyDescent="0.25">
      <c r="A57" s="69">
        <v>46108</v>
      </c>
      <c r="B57" s="70" t="s">
        <v>114</v>
      </c>
      <c r="C57" s="70" t="s">
        <v>100</v>
      </c>
      <c r="D57" s="70" t="s">
        <v>124</v>
      </c>
      <c r="E57" s="70"/>
      <c r="F57" s="72"/>
      <c r="G57" s="72">
        <v>1</v>
      </c>
      <c r="H57" s="72">
        <v>1</v>
      </c>
      <c r="I57" s="72">
        <v>1</v>
      </c>
      <c r="J57" s="72"/>
      <c r="K57" s="72"/>
      <c r="L57" s="72"/>
      <c r="M57" s="72"/>
      <c r="N57" s="72"/>
      <c r="O57" s="72"/>
      <c r="P57" s="72"/>
      <c r="Q57" s="72"/>
      <c r="R57" s="77">
        <f t="shared" si="0"/>
        <v>3</v>
      </c>
    </row>
    <row r="58" spans="1:18" ht="32.25" customHeight="1" x14ac:dyDescent="0.25">
      <c r="A58" s="69">
        <v>46108</v>
      </c>
      <c r="B58" s="70" t="s">
        <v>115</v>
      </c>
      <c r="C58" s="70" t="s">
        <v>96</v>
      </c>
      <c r="D58" s="70" t="s">
        <v>131</v>
      </c>
      <c r="E58" s="70"/>
      <c r="F58" s="72">
        <v>1</v>
      </c>
      <c r="G58" s="72">
        <v>3</v>
      </c>
      <c r="H58" s="72">
        <v>2</v>
      </c>
      <c r="I58" s="72">
        <v>3</v>
      </c>
      <c r="J58" s="72">
        <v>2</v>
      </c>
      <c r="K58" s="72"/>
      <c r="L58" s="72"/>
      <c r="M58" s="72"/>
      <c r="N58" s="72"/>
      <c r="O58" s="72"/>
      <c r="P58" s="72"/>
      <c r="Q58" s="72"/>
      <c r="R58" s="77">
        <f t="shared" si="0"/>
        <v>11</v>
      </c>
    </row>
    <row r="59" spans="1:18" ht="32.25" customHeight="1" x14ac:dyDescent="0.25">
      <c r="A59" s="69">
        <v>46108</v>
      </c>
      <c r="B59" s="70" t="s">
        <v>115</v>
      </c>
      <c r="C59" s="70" t="s">
        <v>100</v>
      </c>
      <c r="D59" s="70" t="s">
        <v>130</v>
      </c>
      <c r="E59" s="78"/>
      <c r="F59" s="72">
        <v>2</v>
      </c>
      <c r="G59" s="72">
        <v>6</v>
      </c>
      <c r="H59" s="72">
        <v>4</v>
      </c>
      <c r="I59" s="72">
        <v>3</v>
      </c>
      <c r="J59" s="72">
        <v>2</v>
      </c>
      <c r="K59" s="72"/>
      <c r="L59" s="72"/>
      <c r="M59" s="72"/>
      <c r="N59" s="72"/>
      <c r="O59" s="72"/>
      <c r="P59" s="72"/>
      <c r="Q59" s="72"/>
      <c r="R59" s="77">
        <f t="shared" si="0"/>
        <v>17</v>
      </c>
    </row>
    <row r="60" spans="1:18" ht="32.25" customHeight="1" x14ac:dyDescent="0.25">
      <c r="A60" s="69">
        <v>46108</v>
      </c>
      <c r="B60" s="70" t="s">
        <v>116</v>
      </c>
      <c r="C60" s="70" t="s">
        <v>100</v>
      </c>
      <c r="D60" s="70"/>
      <c r="E60" s="78"/>
      <c r="F60" s="72"/>
      <c r="G60" s="72">
        <v>2</v>
      </c>
      <c r="H60" s="72">
        <v>4</v>
      </c>
      <c r="I60" s="72">
        <v>3</v>
      </c>
      <c r="J60" s="72">
        <v>2</v>
      </c>
      <c r="K60" s="72"/>
      <c r="L60" s="72"/>
      <c r="M60" s="72"/>
      <c r="N60" s="72"/>
      <c r="O60" s="72"/>
      <c r="P60" s="72"/>
      <c r="Q60" s="72"/>
      <c r="R60" s="77">
        <f t="shared" si="0"/>
        <v>11</v>
      </c>
    </row>
    <row r="61" spans="1:18" ht="32.25" customHeight="1" x14ac:dyDescent="0.25">
      <c r="A61" s="69">
        <v>46108</v>
      </c>
      <c r="B61" s="70" t="s">
        <v>116</v>
      </c>
      <c r="C61" s="70" t="s">
        <v>117</v>
      </c>
      <c r="D61" s="70"/>
      <c r="E61" s="70"/>
      <c r="F61" s="72"/>
      <c r="G61" s="72">
        <v>1</v>
      </c>
      <c r="H61" s="72">
        <v>2</v>
      </c>
      <c r="I61" s="72">
        <v>2</v>
      </c>
      <c r="J61" s="72">
        <v>1</v>
      </c>
      <c r="K61" s="72">
        <v>1</v>
      </c>
      <c r="L61" s="72"/>
      <c r="M61" s="72"/>
      <c r="N61" s="72"/>
      <c r="O61" s="72"/>
      <c r="P61" s="72"/>
      <c r="Q61" s="72"/>
      <c r="R61" s="77">
        <f t="shared" si="0"/>
        <v>7</v>
      </c>
    </row>
    <row r="62" spans="1:18" ht="32.25" customHeight="1" x14ac:dyDescent="0.25">
      <c r="A62" s="69">
        <v>46108</v>
      </c>
      <c r="B62" s="70" t="s">
        <v>104</v>
      </c>
      <c r="C62" s="70" t="s">
        <v>100</v>
      </c>
      <c r="D62" s="70" t="s">
        <v>124</v>
      </c>
      <c r="E62" s="70"/>
      <c r="F62" s="72"/>
      <c r="G62" s="72"/>
      <c r="H62" s="72"/>
      <c r="I62" s="72"/>
      <c r="J62" s="72"/>
      <c r="K62" s="72"/>
      <c r="L62" s="72">
        <v>1</v>
      </c>
      <c r="M62" s="72">
        <v>1</v>
      </c>
      <c r="N62" s="72">
        <v>1</v>
      </c>
      <c r="O62" s="72">
        <v>1</v>
      </c>
      <c r="P62" s="72"/>
      <c r="Q62" s="72"/>
      <c r="R62" s="77">
        <f t="shared" si="0"/>
        <v>4</v>
      </c>
    </row>
    <row r="63" spans="1:18" ht="32.25" customHeight="1" x14ac:dyDescent="0.25">
      <c r="A63" s="69">
        <v>46108</v>
      </c>
      <c r="B63" s="70" t="s">
        <v>104</v>
      </c>
      <c r="C63" s="70" t="s">
        <v>100</v>
      </c>
      <c r="D63" s="70" t="s">
        <v>126</v>
      </c>
      <c r="E63" s="70"/>
      <c r="F63" s="72"/>
      <c r="G63" s="72"/>
      <c r="H63" s="72"/>
      <c r="I63" s="72"/>
      <c r="J63" s="72"/>
      <c r="K63" s="72"/>
      <c r="L63" s="72">
        <v>1</v>
      </c>
      <c r="M63" s="72">
        <v>1</v>
      </c>
      <c r="N63" s="72">
        <v>1</v>
      </c>
      <c r="O63" s="72">
        <v>1</v>
      </c>
      <c r="P63" s="72"/>
      <c r="Q63" s="72"/>
      <c r="R63" s="77">
        <f t="shared" si="0"/>
        <v>4</v>
      </c>
    </row>
    <row r="64" spans="1:18" ht="32.25" customHeight="1" x14ac:dyDescent="0.25">
      <c r="A64" s="69">
        <v>46108</v>
      </c>
      <c r="B64" s="70" t="s">
        <v>115</v>
      </c>
      <c r="C64" s="70" t="s">
        <v>106</v>
      </c>
      <c r="D64" s="70" t="s">
        <v>125</v>
      </c>
      <c r="E64" s="70"/>
      <c r="F64" s="72">
        <v>2</v>
      </c>
      <c r="G64" s="72">
        <v>1</v>
      </c>
      <c r="H64" s="72">
        <v>1</v>
      </c>
      <c r="I64" s="72"/>
      <c r="J64" s="72"/>
      <c r="K64" s="72"/>
      <c r="L64" s="72"/>
      <c r="M64" s="72"/>
      <c r="N64" s="72"/>
      <c r="O64" s="72"/>
      <c r="P64" s="72"/>
      <c r="Q64" s="72"/>
      <c r="R64" s="77">
        <f t="shared" si="0"/>
        <v>4</v>
      </c>
    </row>
    <row r="65" spans="1:18" ht="32.25" customHeight="1" x14ac:dyDescent="0.25">
      <c r="A65" s="69">
        <v>46108</v>
      </c>
      <c r="B65" s="70" t="s">
        <v>118</v>
      </c>
      <c r="C65" s="70" t="s">
        <v>119</v>
      </c>
      <c r="D65" s="70"/>
      <c r="E65" s="78" t="s">
        <v>133</v>
      </c>
      <c r="F65" s="72">
        <v>1</v>
      </c>
      <c r="G65" s="72">
        <v>1</v>
      </c>
      <c r="H65" s="72">
        <v>1</v>
      </c>
      <c r="I65" s="72"/>
      <c r="J65" s="72"/>
      <c r="K65" s="72"/>
      <c r="L65" s="72"/>
      <c r="M65" s="72"/>
      <c r="N65" s="72"/>
      <c r="O65" s="72"/>
      <c r="P65" s="72"/>
      <c r="Q65" s="72"/>
      <c r="R65" s="77">
        <f t="shared" si="0"/>
        <v>3</v>
      </c>
    </row>
    <row r="66" spans="1:18" ht="32.25" customHeight="1" x14ac:dyDescent="0.25">
      <c r="A66" s="70"/>
      <c r="B66" s="70"/>
      <c r="C66" s="70"/>
      <c r="D66" s="70"/>
      <c r="E66" s="70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7"/>
    </row>
    <row r="67" spans="1:18" ht="32.25" customHeight="1" x14ac:dyDescent="0.25">
      <c r="A67" s="73"/>
      <c r="B67" s="73"/>
      <c r="C67" s="73"/>
      <c r="D67" s="73"/>
      <c r="E67" s="7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</row>
    <row r="68" spans="1:18" ht="32.25" customHeight="1" x14ac:dyDescent="0.25">
      <c r="L68" s="33"/>
    </row>
    <row r="71" spans="1:18" ht="32.25" customHeight="1" x14ac:dyDescent="0.25">
      <c r="R71" s="20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Views>
    <sheetView topLeftCell="A172" workbookViewId="0">
      <selection activeCell="L140" sqref="L140"/>
    </sheetView>
  </sheetViews>
  <sheetFormatPr defaultColWidth="9" defaultRowHeight="15" x14ac:dyDescent="0.25"/>
  <cols>
    <col min="1" max="1" width="13.140625" customWidth="1"/>
    <col min="2" max="2" width="27.5703125" customWidth="1"/>
    <col min="3" max="3" width="13.7109375" customWidth="1"/>
    <col min="4" max="4" width="12.28515625" customWidth="1"/>
    <col min="5" max="5" width="14.42578125" customWidth="1"/>
    <col min="6" max="6" width="11.42578125" customWidth="1"/>
    <col min="7" max="7" width="12" customWidth="1"/>
    <col min="8" max="8" width="18.42578125" customWidth="1"/>
    <col min="9" max="9" width="9.5703125" customWidth="1"/>
    <col min="10" max="10" width="16.140625" customWidth="1"/>
  </cols>
  <sheetData>
    <row r="1" spans="1:10" ht="29.25" thickBot="1" x14ac:dyDescent="0.3">
      <c r="A1" s="119" t="s">
        <v>134</v>
      </c>
      <c r="B1" s="120"/>
      <c r="C1" s="120"/>
      <c r="D1" s="120"/>
      <c r="E1" s="120"/>
      <c r="F1" s="120"/>
      <c r="G1" s="120"/>
      <c r="H1" s="120"/>
      <c r="I1" s="120"/>
      <c r="J1" s="79"/>
    </row>
    <row r="2" spans="1:10" ht="15.75" x14ac:dyDescent="0.25">
      <c r="B2" s="46" t="s">
        <v>11</v>
      </c>
      <c r="C2" s="46" t="s">
        <v>12</v>
      </c>
      <c r="D2" s="46" t="s">
        <v>13</v>
      </c>
      <c r="E2" s="46" t="s">
        <v>14</v>
      </c>
      <c r="F2" s="46" t="s">
        <v>15</v>
      </c>
      <c r="G2" s="46" t="s">
        <v>16</v>
      </c>
      <c r="H2" s="46" t="s">
        <v>44</v>
      </c>
      <c r="I2" s="46" t="s">
        <v>17</v>
      </c>
    </row>
    <row r="3" spans="1:10" ht="15" customHeight="1" x14ac:dyDescent="0.25">
      <c r="A3" s="102" t="s">
        <v>135</v>
      </c>
      <c r="B3" s="59" t="s">
        <v>136</v>
      </c>
      <c r="C3" s="49">
        <v>20</v>
      </c>
      <c r="D3" s="49">
        <v>20</v>
      </c>
      <c r="E3" s="50">
        <v>0</v>
      </c>
      <c r="F3" s="50">
        <v>0</v>
      </c>
      <c r="G3" s="50">
        <v>0</v>
      </c>
      <c r="H3" s="50">
        <v>0</v>
      </c>
      <c r="I3" s="50">
        <v>0</v>
      </c>
    </row>
    <row r="4" spans="1:10" ht="15" customHeight="1" x14ac:dyDescent="0.25">
      <c r="A4" s="103"/>
      <c r="B4" s="59" t="s">
        <v>87</v>
      </c>
      <c r="C4" s="49">
        <v>34</v>
      </c>
      <c r="D4" s="49">
        <v>34</v>
      </c>
      <c r="E4" s="50">
        <v>39</v>
      </c>
      <c r="F4" s="50">
        <v>9</v>
      </c>
      <c r="G4" s="50">
        <v>0</v>
      </c>
      <c r="H4" s="50">
        <v>0</v>
      </c>
      <c r="I4" s="50">
        <v>0</v>
      </c>
    </row>
    <row r="5" spans="1:10" ht="15" customHeight="1" x14ac:dyDescent="0.25">
      <c r="A5" s="103"/>
      <c r="B5" s="59" t="s">
        <v>137</v>
      </c>
      <c r="C5" s="49">
        <v>31</v>
      </c>
      <c r="D5" s="49">
        <v>27</v>
      </c>
      <c r="E5" s="50">
        <v>4</v>
      </c>
      <c r="F5" s="50">
        <v>0</v>
      </c>
      <c r="G5" s="50">
        <v>0</v>
      </c>
      <c r="H5" s="50">
        <v>0</v>
      </c>
      <c r="I5" s="50">
        <v>0</v>
      </c>
    </row>
    <row r="6" spans="1:10" ht="15" customHeight="1" x14ac:dyDescent="0.25">
      <c r="A6" s="103"/>
      <c r="B6" s="59" t="s">
        <v>138</v>
      </c>
      <c r="C6" s="49">
        <v>67</v>
      </c>
      <c r="D6" s="49">
        <v>62</v>
      </c>
      <c r="E6" s="50">
        <v>59</v>
      </c>
      <c r="F6" s="50">
        <v>49</v>
      </c>
      <c r="G6" s="50">
        <v>0</v>
      </c>
      <c r="H6" s="50">
        <v>0</v>
      </c>
      <c r="I6" s="50">
        <v>0</v>
      </c>
    </row>
    <row r="7" spans="1:10" ht="15" customHeight="1" x14ac:dyDescent="0.25">
      <c r="A7" s="103"/>
      <c r="B7" s="59" t="s">
        <v>139</v>
      </c>
      <c r="C7" s="49">
        <v>0</v>
      </c>
      <c r="D7" s="49">
        <v>9</v>
      </c>
      <c r="E7" s="50">
        <v>53</v>
      </c>
      <c r="F7" s="50">
        <v>94</v>
      </c>
      <c r="G7" s="50">
        <v>19</v>
      </c>
      <c r="H7" s="50">
        <v>44</v>
      </c>
      <c r="I7" s="50">
        <v>0</v>
      </c>
    </row>
    <row r="8" spans="1:10" ht="15" customHeight="1" x14ac:dyDescent="0.25">
      <c r="A8" s="103"/>
      <c r="B8" s="59" t="s">
        <v>140</v>
      </c>
      <c r="C8" s="49">
        <v>0</v>
      </c>
      <c r="D8" s="50">
        <v>0</v>
      </c>
      <c r="E8" s="50">
        <v>0</v>
      </c>
      <c r="F8" s="50">
        <v>0</v>
      </c>
      <c r="G8" s="50">
        <v>117</v>
      </c>
      <c r="H8" s="50">
        <v>6</v>
      </c>
      <c r="I8" s="50">
        <v>0</v>
      </c>
    </row>
    <row r="9" spans="1:10" ht="15" customHeight="1" x14ac:dyDescent="0.25">
      <c r="A9" s="103"/>
      <c r="B9" s="59" t="s">
        <v>141</v>
      </c>
      <c r="C9" s="49">
        <v>0</v>
      </c>
      <c r="D9" s="50">
        <v>0</v>
      </c>
      <c r="E9" s="50">
        <v>0</v>
      </c>
      <c r="F9" s="50">
        <v>0</v>
      </c>
      <c r="G9" s="50">
        <v>14</v>
      </c>
      <c r="H9" s="50">
        <v>0</v>
      </c>
      <c r="I9" s="50">
        <v>0</v>
      </c>
    </row>
    <row r="10" spans="1:10" ht="15" customHeight="1" x14ac:dyDescent="0.25">
      <c r="A10" s="104"/>
      <c r="B10" s="59" t="s">
        <v>142</v>
      </c>
      <c r="C10" s="49">
        <v>0</v>
      </c>
      <c r="D10" s="50">
        <v>0</v>
      </c>
      <c r="E10" s="50">
        <v>0</v>
      </c>
      <c r="F10" s="50">
        <v>0</v>
      </c>
      <c r="G10" s="50">
        <v>1</v>
      </c>
      <c r="H10" s="50">
        <v>0</v>
      </c>
      <c r="I10" s="50">
        <v>0</v>
      </c>
    </row>
    <row r="11" spans="1:10" s="20" customFormat="1" ht="16.5" customHeight="1" x14ac:dyDescent="0.25">
      <c r="A11" s="51"/>
      <c r="B11" s="24"/>
      <c r="C11" s="25"/>
      <c r="D11" s="25"/>
      <c r="E11" s="25"/>
      <c r="F11" s="25"/>
      <c r="G11" s="25"/>
      <c r="H11" s="25"/>
      <c r="I11" s="25"/>
    </row>
    <row r="12" spans="1:10" x14ac:dyDescent="0.25">
      <c r="A12" s="51"/>
      <c r="B12" s="26"/>
      <c r="C12" s="27"/>
      <c r="D12" s="27"/>
      <c r="E12" s="27"/>
      <c r="F12" s="52"/>
      <c r="G12" s="52"/>
      <c r="H12" s="53"/>
      <c r="I12" s="28"/>
    </row>
    <row r="13" spans="1:10" s="31" customFormat="1" ht="15.75" x14ac:dyDescent="0.25">
      <c r="B13" s="29" t="s">
        <v>27</v>
      </c>
      <c r="C13" s="54">
        <f t="shared" ref="C13:I13" si="0">SUM(C3:C10)</f>
        <v>152</v>
      </c>
      <c r="D13" s="54">
        <f t="shared" si="0"/>
        <v>152</v>
      </c>
      <c r="E13" s="54">
        <f t="shared" si="0"/>
        <v>155</v>
      </c>
      <c r="F13" s="54">
        <f t="shared" si="0"/>
        <v>152</v>
      </c>
      <c r="G13" s="54">
        <f t="shared" si="0"/>
        <v>151</v>
      </c>
      <c r="H13" s="54">
        <f>SUM(H3:H10)</f>
        <v>50</v>
      </c>
      <c r="I13" s="54">
        <f t="shared" si="0"/>
        <v>0</v>
      </c>
    </row>
    <row r="14" spans="1:10" x14ac:dyDescent="0.25">
      <c r="B14" s="32" t="s">
        <v>28</v>
      </c>
      <c r="C14" s="55">
        <v>80</v>
      </c>
      <c r="D14" s="55">
        <v>30</v>
      </c>
      <c r="E14" s="55">
        <v>40</v>
      </c>
      <c r="F14" s="55">
        <v>400</v>
      </c>
      <c r="G14" s="55">
        <v>120</v>
      </c>
      <c r="H14" s="55">
        <v>70</v>
      </c>
      <c r="I14" s="55"/>
    </row>
    <row r="15" spans="1:10" x14ac:dyDescent="0.25">
      <c r="B15" s="32"/>
      <c r="C15" s="55"/>
      <c r="D15" s="55"/>
      <c r="E15" s="55"/>
      <c r="F15" s="55"/>
      <c r="G15" s="55"/>
      <c r="H15" s="55"/>
      <c r="I15" s="55"/>
    </row>
    <row r="16" spans="1:10" ht="15.75" thickBot="1" x14ac:dyDescent="0.3">
      <c r="B16" s="32"/>
      <c r="C16" s="33"/>
      <c r="D16" s="33"/>
      <c r="E16" s="33"/>
      <c r="F16" s="33"/>
      <c r="G16" s="33"/>
      <c r="H16" s="33"/>
      <c r="I16" s="33"/>
    </row>
    <row r="17" spans="2:10" ht="19.5" thickBot="1" x14ac:dyDescent="0.35">
      <c r="B17" s="32" t="s">
        <v>29</v>
      </c>
      <c r="C17" s="34">
        <f>C13*C14</f>
        <v>12160</v>
      </c>
      <c r="D17" s="34">
        <f t="shared" ref="D17:I17" si="1">D13*D14</f>
        <v>4560</v>
      </c>
      <c r="E17" s="34">
        <f t="shared" si="1"/>
        <v>6200</v>
      </c>
      <c r="F17" s="34">
        <f t="shared" si="1"/>
        <v>60800</v>
      </c>
      <c r="G17" s="34">
        <f t="shared" si="1"/>
        <v>18120</v>
      </c>
      <c r="H17" s="34">
        <f t="shared" si="1"/>
        <v>3500</v>
      </c>
      <c r="I17" s="34">
        <f t="shared" si="1"/>
        <v>0</v>
      </c>
      <c r="J17" s="35">
        <f>SUM(C17:I17)</f>
        <v>105340</v>
      </c>
    </row>
    <row r="21" spans="2:10" ht="21" x14ac:dyDescent="0.35">
      <c r="B21" s="36" t="s">
        <v>30</v>
      </c>
      <c r="C21" s="37"/>
    </row>
    <row r="22" spans="2:10" ht="18.75" x14ac:dyDescent="0.3">
      <c r="C22" s="38" t="s">
        <v>12</v>
      </c>
      <c r="D22" s="39">
        <f>C13</f>
        <v>152</v>
      </c>
      <c r="G22" s="56"/>
    </row>
    <row r="23" spans="2:10" ht="18.75" x14ac:dyDescent="0.3">
      <c r="C23" s="38" t="s">
        <v>13</v>
      </c>
      <c r="D23" s="39">
        <f>D13</f>
        <v>152</v>
      </c>
    </row>
    <row r="24" spans="2:10" ht="18.75" x14ac:dyDescent="0.3">
      <c r="C24" s="38" t="s">
        <v>14</v>
      </c>
      <c r="D24" s="39">
        <f>E13</f>
        <v>155</v>
      </c>
    </row>
    <row r="25" spans="2:10" ht="18.75" x14ac:dyDescent="0.3">
      <c r="C25" s="38" t="s">
        <v>17</v>
      </c>
      <c r="D25" s="39">
        <f>I13</f>
        <v>0</v>
      </c>
    </row>
    <row r="26" spans="2:10" ht="18.75" x14ac:dyDescent="0.3">
      <c r="C26" s="38" t="s">
        <v>15</v>
      </c>
      <c r="D26" s="39">
        <f>F13</f>
        <v>152</v>
      </c>
    </row>
    <row r="27" spans="2:10" ht="18.75" x14ac:dyDescent="0.3">
      <c r="C27" s="38" t="s">
        <v>16</v>
      </c>
      <c r="D27" s="39">
        <f>G13</f>
        <v>151</v>
      </c>
    </row>
    <row r="28" spans="2:10" ht="21" x14ac:dyDescent="0.35">
      <c r="C28" s="57" t="s">
        <v>51</v>
      </c>
      <c r="D28" s="58">
        <f>H13</f>
        <v>50</v>
      </c>
    </row>
    <row r="32" spans="2:10" ht="15.75" thickBot="1" x14ac:dyDescent="0.3"/>
    <row r="33" spans="1:11" ht="29.25" thickBot="1" x14ac:dyDescent="0.3">
      <c r="A33" s="119" t="s">
        <v>143</v>
      </c>
      <c r="B33" s="120"/>
      <c r="C33" s="120"/>
      <c r="D33" s="120"/>
      <c r="E33" s="120"/>
      <c r="F33" s="120"/>
      <c r="G33" s="120"/>
      <c r="H33" s="120"/>
      <c r="I33" s="120"/>
      <c r="J33" s="121"/>
      <c r="K33" s="79"/>
    </row>
    <row r="34" spans="1:11" ht="15.75" x14ac:dyDescent="0.25">
      <c r="B34" s="46" t="s">
        <v>11</v>
      </c>
      <c r="C34" s="46" t="s">
        <v>12</v>
      </c>
      <c r="D34" s="46" t="s">
        <v>13</v>
      </c>
      <c r="E34" s="46" t="s">
        <v>14</v>
      </c>
      <c r="F34" s="46" t="s">
        <v>15</v>
      </c>
      <c r="G34" s="46" t="s">
        <v>16</v>
      </c>
      <c r="H34" s="46" t="s">
        <v>44</v>
      </c>
      <c r="I34" s="46" t="s">
        <v>17</v>
      </c>
      <c r="J34" s="47" t="s">
        <v>144</v>
      </c>
    </row>
    <row r="35" spans="1:11" ht="15" customHeight="1" x14ac:dyDescent="0.25">
      <c r="A35" s="102" t="s">
        <v>135</v>
      </c>
      <c r="B35" s="59" t="s">
        <v>140</v>
      </c>
      <c r="C35" s="49">
        <v>86</v>
      </c>
      <c r="D35" s="49">
        <v>86</v>
      </c>
      <c r="E35" s="50">
        <v>78</v>
      </c>
      <c r="F35" s="50">
        <v>62</v>
      </c>
      <c r="G35" s="50">
        <v>0</v>
      </c>
      <c r="H35" s="50">
        <v>0</v>
      </c>
      <c r="I35" s="50">
        <v>0</v>
      </c>
      <c r="J35" s="49">
        <v>0</v>
      </c>
    </row>
    <row r="36" spans="1:11" s="20" customFormat="1" ht="16.5" customHeight="1" x14ac:dyDescent="0.25">
      <c r="A36" s="103"/>
      <c r="B36" s="18" t="s">
        <v>141</v>
      </c>
      <c r="C36" s="50">
        <v>0</v>
      </c>
      <c r="D36" s="50">
        <v>0</v>
      </c>
      <c r="E36" s="50">
        <v>10</v>
      </c>
      <c r="F36" s="50">
        <v>0</v>
      </c>
      <c r="G36" s="50">
        <v>57</v>
      </c>
      <c r="H36" s="50">
        <v>0</v>
      </c>
      <c r="I36" s="50">
        <v>1</v>
      </c>
      <c r="J36" s="50">
        <v>0</v>
      </c>
    </row>
    <row r="37" spans="1:11" s="20" customFormat="1" ht="16.5" customHeight="1" x14ac:dyDescent="0.25">
      <c r="A37" s="103"/>
      <c r="B37" s="18" t="s">
        <v>142</v>
      </c>
      <c r="C37" s="50">
        <v>99</v>
      </c>
      <c r="D37" s="50">
        <v>81</v>
      </c>
      <c r="E37" s="50">
        <v>73</v>
      </c>
      <c r="F37" s="50">
        <v>76</v>
      </c>
      <c r="G37" s="50">
        <v>4</v>
      </c>
      <c r="H37" s="50">
        <v>0</v>
      </c>
      <c r="I37" s="50">
        <v>0</v>
      </c>
      <c r="J37" s="50">
        <v>0</v>
      </c>
    </row>
    <row r="38" spans="1:11" s="20" customFormat="1" ht="16.5" customHeight="1" x14ac:dyDescent="0.25">
      <c r="A38" s="104"/>
      <c r="B38" s="18" t="s">
        <v>145</v>
      </c>
      <c r="C38" s="50">
        <v>0</v>
      </c>
      <c r="D38" s="50">
        <v>20</v>
      </c>
      <c r="E38" s="50">
        <v>2</v>
      </c>
      <c r="F38" s="50">
        <v>17</v>
      </c>
      <c r="G38" s="50">
        <v>50</v>
      </c>
      <c r="H38" s="50">
        <v>0</v>
      </c>
      <c r="I38" s="50">
        <v>0</v>
      </c>
      <c r="J38" s="50">
        <v>0</v>
      </c>
    </row>
    <row r="39" spans="1:11" s="20" customFormat="1" ht="16.5" customHeight="1" x14ac:dyDescent="0.25">
      <c r="A39" s="51"/>
      <c r="B39" s="24"/>
      <c r="C39" s="25"/>
      <c r="D39" s="25"/>
      <c r="E39" s="25"/>
      <c r="F39" s="25"/>
      <c r="G39" s="25"/>
      <c r="H39" s="25"/>
      <c r="I39" s="25"/>
      <c r="J39" s="25"/>
    </row>
    <row r="40" spans="1:11" x14ac:dyDescent="0.25">
      <c r="A40" s="51"/>
      <c r="B40" s="26"/>
      <c r="C40" s="27"/>
      <c r="D40" s="27"/>
      <c r="E40" s="27"/>
      <c r="F40" s="52"/>
      <c r="G40" s="52"/>
      <c r="H40" s="53"/>
      <c r="I40" s="28"/>
      <c r="J40" s="28"/>
    </row>
    <row r="41" spans="1:11" s="31" customFormat="1" ht="15.75" x14ac:dyDescent="0.25">
      <c r="B41" s="29" t="s">
        <v>27</v>
      </c>
      <c r="C41" s="54">
        <f>SUM(C35:C38)</f>
        <v>185</v>
      </c>
      <c r="D41" s="54">
        <f t="shared" ref="D41:J41" si="2">SUM(D35:D38)</f>
        <v>187</v>
      </c>
      <c r="E41" s="54">
        <f t="shared" si="2"/>
        <v>163</v>
      </c>
      <c r="F41" s="54">
        <f t="shared" si="2"/>
        <v>155</v>
      </c>
      <c r="G41" s="54">
        <f t="shared" si="2"/>
        <v>111</v>
      </c>
      <c r="H41" s="54">
        <f t="shared" si="2"/>
        <v>0</v>
      </c>
      <c r="I41" s="54">
        <f>SUM(I35:I38)</f>
        <v>1</v>
      </c>
      <c r="J41" s="54">
        <f t="shared" si="2"/>
        <v>0</v>
      </c>
    </row>
    <row r="42" spans="1:11" x14ac:dyDescent="0.25">
      <c r="B42" s="32" t="s">
        <v>28</v>
      </c>
      <c r="C42" s="55">
        <v>80</v>
      </c>
      <c r="D42" s="55">
        <v>30</v>
      </c>
      <c r="E42" s="55">
        <v>40</v>
      </c>
      <c r="F42" s="55">
        <v>480</v>
      </c>
      <c r="G42" s="55">
        <v>120</v>
      </c>
      <c r="H42" s="55"/>
      <c r="I42" s="55"/>
      <c r="J42" s="55"/>
    </row>
    <row r="43" spans="1:11" x14ac:dyDescent="0.25">
      <c r="B43" s="32"/>
      <c r="C43" s="55"/>
      <c r="D43" s="55"/>
      <c r="E43" s="55"/>
      <c r="F43" s="55"/>
      <c r="G43" s="55"/>
      <c r="H43" s="55"/>
      <c r="I43" s="55"/>
      <c r="J43" s="55"/>
    </row>
    <row r="44" spans="1:11" ht="15.75" thickBot="1" x14ac:dyDescent="0.3">
      <c r="B44" s="32"/>
      <c r="C44" s="33"/>
      <c r="D44" s="33"/>
      <c r="E44" s="33"/>
      <c r="F44" s="33"/>
      <c r="G44" s="33"/>
      <c r="H44" s="33"/>
      <c r="I44" s="33"/>
      <c r="J44" s="33"/>
    </row>
    <row r="45" spans="1:11" ht="19.5" thickBot="1" x14ac:dyDescent="0.35">
      <c r="B45" s="32" t="s">
        <v>29</v>
      </c>
      <c r="C45" s="34">
        <f>C41*C42</f>
        <v>14800</v>
      </c>
      <c r="D45" s="34">
        <f t="shared" ref="D45:J45" si="3">D41*D42</f>
        <v>5610</v>
      </c>
      <c r="E45" s="34">
        <f t="shared" si="3"/>
        <v>6520</v>
      </c>
      <c r="F45" s="34">
        <f t="shared" si="3"/>
        <v>74400</v>
      </c>
      <c r="G45" s="34">
        <f t="shared" si="3"/>
        <v>13320</v>
      </c>
      <c r="H45" s="34">
        <f t="shared" si="3"/>
        <v>0</v>
      </c>
      <c r="I45" s="34">
        <f t="shared" si="3"/>
        <v>0</v>
      </c>
      <c r="J45" s="34">
        <f t="shared" si="3"/>
        <v>0</v>
      </c>
      <c r="K45" s="35">
        <f>SUM(C45:J45)</f>
        <v>114650</v>
      </c>
    </row>
    <row r="49" spans="1:11" ht="21" x14ac:dyDescent="0.35">
      <c r="B49" s="36" t="s">
        <v>30</v>
      </c>
      <c r="C49" s="37"/>
    </row>
    <row r="50" spans="1:11" ht="18.75" x14ac:dyDescent="0.3">
      <c r="C50" s="38" t="s">
        <v>12</v>
      </c>
      <c r="D50" s="39">
        <f>C41</f>
        <v>185</v>
      </c>
      <c r="G50" s="56"/>
    </row>
    <row r="51" spans="1:11" ht="18.75" x14ac:dyDescent="0.3">
      <c r="C51" s="38" t="s">
        <v>13</v>
      </c>
      <c r="D51" s="39">
        <f>D41</f>
        <v>187</v>
      </c>
    </row>
    <row r="52" spans="1:11" ht="18.75" x14ac:dyDescent="0.3">
      <c r="C52" s="38" t="s">
        <v>14</v>
      </c>
      <c r="D52" s="39">
        <f>E41</f>
        <v>163</v>
      </c>
    </row>
    <row r="53" spans="1:11" ht="18.75" x14ac:dyDescent="0.3">
      <c r="C53" s="38" t="s">
        <v>17</v>
      </c>
      <c r="D53" s="39">
        <f>I41</f>
        <v>1</v>
      </c>
    </row>
    <row r="54" spans="1:11" ht="18.75" x14ac:dyDescent="0.3">
      <c r="C54" s="38" t="s">
        <v>15</v>
      </c>
      <c r="D54" s="39">
        <f>F41</f>
        <v>155</v>
      </c>
    </row>
    <row r="55" spans="1:11" ht="18.75" x14ac:dyDescent="0.3">
      <c r="C55" s="38" t="s">
        <v>16</v>
      </c>
      <c r="D55" s="39">
        <f>G41</f>
        <v>111</v>
      </c>
    </row>
    <row r="56" spans="1:11" ht="21" x14ac:dyDescent="0.35">
      <c r="C56" s="57" t="s">
        <v>51</v>
      </c>
      <c r="D56" s="58">
        <f>H41</f>
        <v>0</v>
      </c>
    </row>
    <row r="57" spans="1:11" ht="18.75" x14ac:dyDescent="0.3">
      <c r="C57" s="38" t="s">
        <v>144</v>
      </c>
      <c r="D57" s="39">
        <f>J41</f>
        <v>0</v>
      </c>
    </row>
    <row r="62" spans="1:11" ht="15.75" thickBot="1" x14ac:dyDescent="0.3"/>
    <row r="63" spans="1:11" ht="29.25" thickBot="1" x14ac:dyDescent="0.3">
      <c r="A63" s="119" t="s">
        <v>146</v>
      </c>
      <c r="B63" s="120"/>
      <c r="C63" s="120"/>
      <c r="D63" s="120"/>
      <c r="E63" s="120"/>
      <c r="F63" s="120"/>
      <c r="G63" s="120"/>
      <c r="H63" s="120"/>
      <c r="I63" s="120"/>
      <c r="J63" s="121"/>
      <c r="K63" s="79"/>
    </row>
    <row r="64" spans="1:11" ht="15.75" x14ac:dyDescent="0.25">
      <c r="B64" s="46" t="s">
        <v>11</v>
      </c>
      <c r="C64" s="46" t="s">
        <v>12</v>
      </c>
      <c r="D64" s="46" t="s">
        <v>13</v>
      </c>
      <c r="E64" s="46" t="s">
        <v>14</v>
      </c>
      <c r="F64" s="46" t="s">
        <v>15</v>
      </c>
      <c r="G64" s="46" t="s">
        <v>16</v>
      </c>
      <c r="H64" s="46" t="s">
        <v>44</v>
      </c>
      <c r="I64" s="46" t="s">
        <v>17</v>
      </c>
      <c r="J64" s="47" t="s">
        <v>144</v>
      </c>
    </row>
    <row r="65" spans="1:11" ht="15" customHeight="1" x14ac:dyDescent="0.25">
      <c r="A65" s="100" t="s">
        <v>135</v>
      </c>
      <c r="B65" s="59" t="s">
        <v>25</v>
      </c>
      <c r="C65" s="49">
        <v>109</v>
      </c>
      <c r="D65" s="49">
        <v>68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</row>
    <row r="66" spans="1:11" s="20" customFormat="1" ht="16.5" customHeight="1" x14ac:dyDescent="0.25">
      <c r="A66" s="100"/>
      <c r="B66" s="18" t="s">
        <v>139</v>
      </c>
      <c r="C66" s="50">
        <v>0</v>
      </c>
      <c r="D66" s="50">
        <v>41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</row>
    <row r="67" spans="1:11" s="20" customFormat="1" ht="16.5" customHeight="1" x14ac:dyDescent="0.25">
      <c r="A67" s="100"/>
      <c r="B67" s="59" t="s">
        <v>140</v>
      </c>
      <c r="C67" s="50">
        <v>86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</row>
    <row r="68" spans="1:11" s="20" customFormat="1" ht="16.5" customHeight="1" x14ac:dyDescent="0.25">
      <c r="A68" s="100"/>
      <c r="B68" s="18" t="s">
        <v>141</v>
      </c>
      <c r="C68" s="50">
        <v>80</v>
      </c>
      <c r="D68" s="50">
        <v>86</v>
      </c>
      <c r="E68" s="50">
        <f>159+38</f>
        <v>197</v>
      </c>
      <c r="F68" s="50">
        <v>0</v>
      </c>
      <c r="G68" s="50">
        <v>0</v>
      </c>
      <c r="H68" s="50">
        <v>0</v>
      </c>
      <c r="I68" s="50">
        <v>110</v>
      </c>
      <c r="J68" s="50">
        <v>0</v>
      </c>
    </row>
    <row r="69" spans="1:11" s="20" customFormat="1" ht="16.5" customHeight="1" x14ac:dyDescent="0.25">
      <c r="A69" s="100"/>
      <c r="B69" s="18" t="s">
        <v>142</v>
      </c>
      <c r="C69" s="50">
        <v>0</v>
      </c>
      <c r="D69" s="50">
        <v>80</v>
      </c>
      <c r="E69" s="50">
        <v>0</v>
      </c>
      <c r="F69" s="50">
        <v>0</v>
      </c>
      <c r="G69" s="50">
        <v>0</v>
      </c>
      <c r="H69" s="50">
        <v>0</v>
      </c>
      <c r="I69" s="50">
        <v>56</v>
      </c>
      <c r="J69" s="50">
        <v>0</v>
      </c>
    </row>
    <row r="70" spans="1:11" s="20" customFormat="1" ht="16.5" customHeight="1" x14ac:dyDescent="0.25">
      <c r="A70" s="51"/>
      <c r="B70" s="24"/>
      <c r="C70" s="25"/>
      <c r="D70" s="25"/>
      <c r="E70" s="25"/>
      <c r="F70" s="25"/>
      <c r="G70" s="25"/>
      <c r="H70" s="25"/>
      <c r="I70" s="25"/>
      <c r="J70" s="25"/>
    </row>
    <row r="71" spans="1:11" x14ac:dyDescent="0.25">
      <c r="A71" s="51"/>
      <c r="B71" s="26"/>
      <c r="C71" s="27"/>
      <c r="D71" s="27"/>
      <c r="E71" s="27"/>
      <c r="F71" s="52"/>
      <c r="G71" s="52"/>
      <c r="H71" s="53"/>
      <c r="I71" s="28"/>
      <c r="J71" s="28"/>
    </row>
    <row r="72" spans="1:11" s="31" customFormat="1" ht="15.75" x14ac:dyDescent="0.25">
      <c r="B72" s="29" t="s">
        <v>27</v>
      </c>
      <c r="C72" s="54">
        <f>SUM(C65:C69)</f>
        <v>275</v>
      </c>
      <c r="D72" s="54">
        <f t="shared" ref="D72:J72" si="4">SUM(D65:D69)</f>
        <v>275</v>
      </c>
      <c r="E72" s="54">
        <f t="shared" si="4"/>
        <v>197</v>
      </c>
      <c r="F72" s="54">
        <f t="shared" si="4"/>
        <v>0</v>
      </c>
      <c r="G72" s="54">
        <f t="shared" si="4"/>
        <v>0</v>
      </c>
      <c r="H72" s="54">
        <f t="shared" si="4"/>
        <v>0</v>
      </c>
      <c r="I72" s="54">
        <f t="shared" si="4"/>
        <v>166</v>
      </c>
      <c r="J72" s="54">
        <f t="shared" si="4"/>
        <v>0</v>
      </c>
    </row>
    <row r="73" spans="1:11" x14ac:dyDescent="0.25">
      <c r="B73" s="32" t="s">
        <v>28</v>
      </c>
      <c r="C73" s="55">
        <v>35</v>
      </c>
      <c r="D73" s="55">
        <v>30</v>
      </c>
      <c r="E73" s="55">
        <v>40</v>
      </c>
      <c r="F73" s="55"/>
      <c r="G73" s="55"/>
      <c r="H73" s="55"/>
      <c r="I73" s="55">
        <v>550</v>
      </c>
      <c r="J73" s="55"/>
    </row>
    <row r="74" spans="1:11" x14ac:dyDescent="0.25">
      <c r="B74" s="32"/>
      <c r="C74" s="55"/>
      <c r="D74" s="55"/>
      <c r="E74" s="55"/>
      <c r="F74" s="55"/>
      <c r="G74" s="55"/>
      <c r="H74" s="55"/>
      <c r="I74" s="55"/>
      <c r="J74" s="55"/>
    </row>
    <row r="75" spans="1:11" ht="15.75" thickBot="1" x14ac:dyDescent="0.3">
      <c r="B75" s="32"/>
      <c r="C75" s="33"/>
      <c r="D75" s="33"/>
      <c r="E75" s="33"/>
      <c r="F75" s="33"/>
      <c r="G75" s="33"/>
      <c r="H75" s="33"/>
      <c r="I75" s="33"/>
      <c r="J75" s="33"/>
    </row>
    <row r="76" spans="1:11" ht="19.5" thickBot="1" x14ac:dyDescent="0.35">
      <c r="B76" s="32" t="s">
        <v>29</v>
      </c>
      <c r="C76" s="34">
        <f>C72*C73</f>
        <v>9625</v>
      </c>
      <c r="D76" s="34">
        <f t="shared" ref="D76:J76" si="5">D72*D73</f>
        <v>8250</v>
      </c>
      <c r="E76" s="34">
        <f t="shared" si="5"/>
        <v>7880</v>
      </c>
      <c r="F76" s="34">
        <f t="shared" si="5"/>
        <v>0</v>
      </c>
      <c r="G76" s="34">
        <f t="shared" si="5"/>
        <v>0</v>
      </c>
      <c r="H76" s="34">
        <f t="shared" si="5"/>
        <v>0</v>
      </c>
      <c r="I76" s="34">
        <f t="shared" si="5"/>
        <v>91300</v>
      </c>
      <c r="J76" s="34">
        <f t="shared" si="5"/>
        <v>0</v>
      </c>
      <c r="K76" s="35">
        <f>SUM(C76:J76)</f>
        <v>117055</v>
      </c>
    </row>
    <row r="80" spans="1:11" ht="21" x14ac:dyDescent="0.35">
      <c r="B80" s="36" t="s">
        <v>30</v>
      </c>
      <c r="C80" s="37"/>
    </row>
    <row r="81" spans="1:11" ht="18.75" x14ac:dyDescent="0.3">
      <c r="C81" s="38" t="s">
        <v>12</v>
      </c>
      <c r="D81" s="39">
        <f>C72</f>
        <v>275</v>
      </c>
      <c r="G81" s="56"/>
    </row>
    <row r="82" spans="1:11" ht="18.75" x14ac:dyDescent="0.3">
      <c r="C82" s="38" t="s">
        <v>13</v>
      </c>
      <c r="D82" s="39">
        <f>D72</f>
        <v>275</v>
      </c>
    </row>
    <row r="83" spans="1:11" ht="18.75" x14ac:dyDescent="0.3">
      <c r="C83" s="38" t="s">
        <v>14</v>
      </c>
      <c r="D83" s="39">
        <f>E72</f>
        <v>197</v>
      </c>
    </row>
    <row r="84" spans="1:11" ht="18.75" x14ac:dyDescent="0.3">
      <c r="C84" s="38" t="s">
        <v>17</v>
      </c>
      <c r="D84" s="39">
        <f>I72</f>
        <v>166</v>
      </c>
    </row>
    <row r="85" spans="1:11" ht="18.75" x14ac:dyDescent="0.3">
      <c r="C85" s="38" t="s">
        <v>15</v>
      </c>
      <c r="D85" s="39">
        <f>F72</f>
        <v>0</v>
      </c>
    </row>
    <row r="86" spans="1:11" ht="18.75" x14ac:dyDescent="0.3">
      <c r="C86" s="38" t="s">
        <v>16</v>
      </c>
      <c r="D86" s="39">
        <f>G72</f>
        <v>0</v>
      </c>
    </row>
    <row r="87" spans="1:11" ht="21" x14ac:dyDescent="0.35">
      <c r="C87" s="57" t="s">
        <v>51</v>
      </c>
      <c r="D87" s="58">
        <f>H72</f>
        <v>0</v>
      </c>
    </row>
    <row r="88" spans="1:11" ht="18.75" x14ac:dyDescent="0.3">
      <c r="C88" s="38" t="s">
        <v>144</v>
      </c>
      <c r="D88" s="39">
        <f>J72</f>
        <v>0</v>
      </c>
    </row>
    <row r="93" spans="1:11" ht="15.75" thickBot="1" x14ac:dyDescent="0.3"/>
    <row r="94" spans="1:11" ht="29.25" thickBot="1" x14ac:dyDescent="0.3">
      <c r="A94" s="119" t="s">
        <v>147</v>
      </c>
      <c r="B94" s="120"/>
      <c r="C94" s="120"/>
      <c r="D94" s="120"/>
      <c r="E94" s="120"/>
      <c r="F94" s="120"/>
      <c r="G94" s="120"/>
      <c r="H94" s="120"/>
      <c r="I94" s="120"/>
      <c r="J94" s="121"/>
      <c r="K94" s="79"/>
    </row>
    <row r="95" spans="1:11" ht="15.75" x14ac:dyDescent="0.25">
      <c r="B95" s="46" t="s">
        <v>11</v>
      </c>
      <c r="C95" s="46" t="s">
        <v>12</v>
      </c>
      <c r="D95" s="46" t="s">
        <v>13</v>
      </c>
      <c r="E95" s="46" t="s">
        <v>14</v>
      </c>
      <c r="F95" s="46" t="s">
        <v>15</v>
      </c>
      <c r="G95" s="46" t="s">
        <v>16</v>
      </c>
      <c r="H95" s="46" t="s">
        <v>44</v>
      </c>
      <c r="I95" s="46" t="s">
        <v>17</v>
      </c>
      <c r="J95" s="47" t="s">
        <v>144</v>
      </c>
    </row>
    <row r="96" spans="1:11" x14ac:dyDescent="0.25">
      <c r="A96" s="102" t="s">
        <v>135</v>
      </c>
      <c r="B96" s="59" t="s">
        <v>140</v>
      </c>
      <c r="C96" s="49">
        <v>26</v>
      </c>
      <c r="D96" s="49">
        <v>26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</row>
    <row r="97" spans="1:11" s="20" customFormat="1" x14ac:dyDescent="0.25">
      <c r="A97" s="103"/>
      <c r="B97" s="18" t="s">
        <v>141</v>
      </c>
      <c r="C97" s="50">
        <v>105</v>
      </c>
      <c r="D97" s="50">
        <v>105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</row>
    <row r="98" spans="1:11" s="20" customFormat="1" x14ac:dyDescent="0.25">
      <c r="A98" s="104"/>
      <c r="B98" s="18"/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</row>
    <row r="99" spans="1:11" s="20" customFormat="1" x14ac:dyDescent="0.25">
      <c r="A99" s="51"/>
      <c r="B99" s="24"/>
      <c r="C99" s="25"/>
      <c r="D99" s="25"/>
      <c r="E99" s="25"/>
      <c r="F99" s="25"/>
      <c r="G99" s="25"/>
      <c r="H99" s="25"/>
      <c r="I99" s="25"/>
      <c r="J99" s="25"/>
    </row>
    <row r="100" spans="1:11" x14ac:dyDescent="0.25">
      <c r="A100" s="51"/>
      <c r="B100" s="26"/>
      <c r="C100" s="27"/>
      <c r="D100" s="27"/>
      <c r="E100" s="27"/>
      <c r="F100" s="52"/>
      <c r="G100" s="52"/>
      <c r="H100" s="53"/>
      <c r="I100" s="28"/>
      <c r="J100" s="28"/>
    </row>
    <row r="101" spans="1:11" s="31" customFormat="1" ht="15.75" x14ac:dyDescent="0.25">
      <c r="B101" s="29" t="s">
        <v>27</v>
      </c>
      <c r="C101" s="54">
        <f>SUM(C96:C98)</f>
        <v>131</v>
      </c>
      <c r="D101" s="54">
        <f>SUM(D96:D98)</f>
        <v>131</v>
      </c>
      <c r="E101" s="54">
        <f t="shared" ref="E101:J101" si="6">SUM(E96:E98)</f>
        <v>0</v>
      </c>
      <c r="F101" s="54">
        <f t="shared" si="6"/>
        <v>0</v>
      </c>
      <c r="G101" s="54">
        <f t="shared" si="6"/>
        <v>0</v>
      </c>
      <c r="H101" s="54">
        <f t="shared" si="6"/>
        <v>0</v>
      </c>
      <c r="I101" s="54">
        <f t="shared" si="6"/>
        <v>0</v>
      </c>
      <c r="J101" s="54">
        <f t="shared" si="6"/>
        <v>0</v>
      </c>
    </row>
    <row r="102" spans="1:11" x14ac:dyDescent="0.25">
      <c r="B102" s="32" t="s">
        <v>28</v>
      </c>
      <c r="C102" s="55">
        <v>80</v>
      </c>
      <c r="D102" s="55">
        <v>30</v>
      </c>
      <c r="E102" s="55">
        <v>40</v>
      </c>
      <c r="F102" s="55"/>
      <c r="G102" s="55"/>
      <c r="H102" s="55"/>
      <c r="I102" s="55"/>
      <c r="J102" s="55"/>
    </row>
    <row r="103" spans="1:11" x14ac:dyDescent="0.25">
      <c r="B103" s="32"/>
      <c r="C103" s="55"/>
      <c r="D103" s="55"/>
      <c r="E103" s="55"/>
      <c r="F103" s="55"/>
      <c r="G103" s="55"/>
      <c r="H103" s="55"/>
      <c r="I103" s="55"/>
      <c r="J103" s="55"/>
    </row>
    <row r="104" spans="1:11" ht="15.75" thickBot="1" x14ac:dyDescent="0.3">
      <c r="B104" s="32"/>
      <c r="C104" s="33"/>
      <c r="D104" s="33"/>
      <c r="E104" s="33"/>
      <c r="F104" s="33"/>
      <c r="G104" s="33"/>
      <c r="H104" s="33"/>
      <c r="I104" s="33"/>
      <c r="J104" s="33"/>
    </row>
    <row r="105" spans="1:11" ht="19.5" thickBot="1" x14ac:dyDescent="0.35">
      <c r="B105" s="32" t="s">
        <v>29</v>
      </c>
      <c r="C105" s="34">
        <f>C101*C102</f>
        <v>10480</v>
      </c>
      <c r="D105" s="34">
        <f t="shared" ref="D105:J105" si="7">D101*D102</f>
        <v>3930</v>
      </c>
      <c r="E105" s="34">
        <f t="shared" si="7"/>
        <v>0</v>
      </c>
      <c r="F105" s="34">
        <f t="shared" si="7"/>
        <v>0</v>
      </c>
      <c r="G105" s="34">
        <f t="shared" si="7"/>
        <v>0</v>
      </c>
      <c r="H105" s="34">
        <f t="shared" si="7"/>
        <v>0</v>
      </c>
      <c r="I105" s="34">
        <f t="shared" si="7"/>
        <v>0</v>
      </c>
      <c r="J105" s="34">
        <f t="shared" si="7"/>
        <v>0</v>
      </c>
      <c r="K105" s="35">
        <f>SUM(C105:J105)</f>
        <v>14410</v>
      </c>
    </row>
    <row r="109" spans="1:11" ht="21" x14ac:dyDescent="0.35">
      <c r="B109" s="36" t="s">
        <v>30</v>
      </c>
      <c r="C109" s="37"/>
    </row>
    <row r="110" spans="1:11" ht="18.75" x14ac:dyDescent="0.3">
      <c r="C110" s="38" t="s">
        <v>12</v>
      </c>
      <c r="D110" s="39">
        <f>C101</f>
        <v>131</v>
      </c>
      <c r="G110" s="56"/>
    </row>
    <row r="111" spans="1:11" ht="18.75" x14ac:dyDescent="0.3">
      <c r="C111" s="38" t="s">
        <v>13</v>
      </c>
      <c r="D111" s="39">
        <f>D101</f>
        <v>131</v>
      </c>
    </row>
    <row r="112" spans="1:11" ht="18.75" x14ac:dyDescent="0.3">
      <c r="C112" s="38" t="s">
        <v>14</v>
      </c>
      <c r="D112" s="39">
        <f>E101</f>
        <v>0</v>
      </c>
    </row>
    <row r="113" spans="1:11" ht="18.75" x14ac:dyDescent="0.3">
      <c r="C113" s="38" t="s">
        <v>17</v>
      </c>
      <c r="D113" s="39">
        <f>I101</f>
        <v>0</v>
      </c>
    </row>
    <row r="114" spans="1:11" ht="18.75" x14ac:dyDescent="0.3">
      <c r="C114" s="38" t="s">
        <v>15</v>
      </c>
      <c r="D114" s="39">
        <f>F101</f>
        <v>0</v>
      </c>
    </row>
    <row r="115" spans="1:11" ht="18.75" x14ac:dyDescent="0.3">
      <c r="C115" s="38" t="s">
        <v>16</v>
      </c>
      <c r="D115" s="39">
        <f>G101</f>
        <v>0</v>
      </c>
    </row>
    <row r="116" spans="1:11" ht="21" x14ac:dyDescent="0.35">
      <c r="C116" s="57" t="s">
        <v>51</v>
      </c>
      <c r="D116" s="58">
        <f>H101</f>
        <v>0</v>
      </c>
    </row>
    <row r="117" spans="1:11" ht="18.75" x14ac:dyDescent="0.3">
      <c r="C117" s="38" t="s">
        <v>144</v>
      </c>
      <c r="D117" s="39">
        <f>J101</f>
        <v>0</v>
      </c>
    </row>
    <row r="119" spans="1:11" ht="15.75" thickBot="1" x14ac:dyDescent="0.3"/>
    <row r="120" spans="1:11" ht="29.25" thickBot="1" x14ac:dyDescent="0.3">
      <c r="A120" s="119" t="s">
        <v>148</v>
      </c>
      <c r="B120" s="120"/>
      <c r="C120" s="120"/>
      <c r="D120" s="120"/>
      <c r="E120" s="120"/>
      <c r="F120" s="120"/>
      <c r="G120" s="120"/>
      <c r="H120" s="120"/>
      <c r="I120" s="120"/>
      <c r="J120" s="121"/>
      <c r="K120" s="79"/>
    </row>
    <row r="121" spans="1:11" ht="15.75" x14ac:dyDescent="0.25">
      <c r="B121" s="46" t="s">
        <v>11</v>
      </c>
      <c r="C121" s="46" t="s">
        <v>12</v>
      </c>
      <c r="D121" s="46" t="s">
        <v>13</v>
      </c>
      <c r="E121" s="46" t="s">
        <v>14</v>
      </c>
      <c r="F121" s="46" t="s">
        <v>15</v>
      </c>
      <c r="G121" s="46" t="s">
        <v>16</v>
      </c>
      <c r="H121" s="46" t="s">
        <v>44</v>
      </c>
      <c r="I121" s="46" t="s">
        <v>17</v>
      </c>
      <c r="J121" s="47" t="s">
        <v>144</v>
      </c>
    </row>
    <row r="122" spans="1:11" x14ac:dyDescent="0.25">
      <c r="A122" s="102" t="s">
        <v>135</v>
      </c>
      <c r="B122" s="59" t="s">
        <v>140</v>
      </c>
      <c r="C122" s="49">
        <v>14</v>
      </c>
      <c r="D122" s="49">
        <v>0</v>
      </c>
      <c r="E122" s="49">
        <v>0</v>
      </c>
      <c r="F122" s="49">
        <v>0</v>
      </c>
      <c r="G122" s="49">
        <v>0</v>
      </c>
      <c r="H122" s="49">
        <v>0</v>
      </c>
      <c r="I122" s="49">
        <v>0</v>
      </c>
      <c r="J122" s="49">
        <v>0</v>
      </c>
    </row>
    <row r="123" spans="1:11" s="20" customFormat="1" x14ac:dyDescent="0.25">
      <c r="A123" s="103"/>
      <c r="B123" s="18" t="s">
        <v>141</v>
      </c>
      <c r="C123" s="49">
        <v>5</v>
      </c>
      <c r="D123" s="49">
        <v>19</v>
      </c>
      <c r="E123" s="49">
        <v>0</v>
      </c>
      <c r="F123" s="49">
        <v>0</v>
      </c>
      <c r="G123" s="49">
        <v>0</v>
      </c>
      <c r="H123" s="49">
        <v>0</v>
      </c>
      <c r="I123" s="50">
        <v>19</v>
      </c>
      <c r="J123" s="49">
        <v>0</v>
      </c>
    </row>
    <row r="124" spans="1:11" s="20" customFormat="1" x14ac:dyDescent="0.25">
      <c r="A124" s="104"/>
      <c r="B124" s="18"/>
      <c r="C124" s="49">
        <v>0</v>
      </c>
      <c r="D124" s="49">
        <v>0</v>
      </c>
      <c r="E124" s="49">
        <v>0</v>
      </c>
      <c r="F124" s="49">
        <v>0</v>
      </c>
      <c r="G124" s="49">
        <v>0</v>
      </c>
      <c r="H124" s="49">
        <v>0</v>
      </c>
      <c r="I124" s="50">
        <v>0</v>
      </c>
      <c r="J124" s="49">
        <v>0</v>
      </c>
    </row>
    <row r="125" spans="1:11" s="20" customFormat="1" x14ac:dyDescent="0.25">
      <c r="A125" s="51"/>
      <c r="B125" s="24"/>
      <c r="C125" s="25"/>
      <c r="D125" s="25"/>
      <c r="E125" s="25"/>
      <c r="F125" s="25"/>
      <c r="G125" s="25"/>
      <c r="H125" s="25"/>
      <c r="I125" s="25"/>
      <c r="J125" s="25"/>
    </row>
    <row r="126" spans="1:11" x14ac:dyDescent="0.25">
      <c r="A126" s="51"/>
      <c r="B126" s="26"/>
      <c r="C126" s="27"/>
      <c r="D126" s="27"/>
      <c r="E126" s="27"/>
      <c r="F126" s="52"/>
      <c r="G126" s="52"/>
      <c r="H126" s="53"/>
      <c r="I126" s="28"/>
      <c r="J126" s="28"/>
    </row>
    <row r="127" spans="1:11" s="31" customFormat="1" ht="15.75" x14ac:dyDescent="0.25">
      <c r="B127" s="29" t="s">
        <v>27</v>
      </c>
      <c r="C127" s="54">
        <f>SUM(C122:C124)</f>
        <v>19</v>
      </c>
      <c r="D127" s="54">
        <f t="shared" ref="D127:J127" si="8">SUM(D122:D124)</f>
        <v>19</v>
      </c>
      <c r="E127" s="54">
        <f t="shared" si="8"/>
        <v>0</v>
      </c>
      <c r="F127" s="54">
        <f t="shared" si="8"/>
        <v>0</v>
      </c>
      <c r="G127" s="54">
        <f t="shared" si="8"/>
        <v>0</v>
      </c>
      <c r="H127" s="54">
        <f t="shared" si="8"/>
        <v>0</v>
      </c>
      <c r="I127" s="54">
        <f t="shared" si="8"/>
        <v>19</v>
      </c>
      <c r="J127" s="54">
        <f t="shared" si="8"/>
        <v>0</v>
      </c>
    </row>
    <row r="128" spans="1:11" x14ac:dyDescent="0.25">
      <c r="B128" s="32" t="s">
        <v>28</v>
      </c>
      <c r="C128" s="55">
        <v>70</v>
      </c>
      <c r="D128" s="55">
        <v>30</v>
      </c>
      <c r="E128" s="55">
        <v>40</v>
      </c>
      <c r="F128" s="55"/>
      <c r="G128" s="55"/>
      <c r="H128" s="55"/>
      <c r="I128" s="55">
        <v>400</v>
      </c>
      <c r="J128" s="55"/>
    </row>
    <row r="129" spans="2:11" x14ac:dyDescent="0.25">
      <c r="B129" s="32"/>
      <c r="C129" s="55"/>
      <c r="D129" s="55"/>
      <c r="E129" s="55"/>
      <c r="F129" s="55"/>
      <c r="G129" s="55"/>
      <c r="H129" s="55"/>
      <c r="I129" s="55"/>
      <c r="J129" s="55"/>
    </row>
    <row r="130" spans="2:11" ht="15.75" thickBot="1" x14ac:dyDescent="0.3">
      <c r="B130" s="32"/>
      <c r="C130" s="33"/>
      <c r="D130" s="33"/>
      <c r="E130" s="33"/>
      <c r="F130" s="33"/>
      <c r="G130" s="33"/>
      <c r="H130" s="33"/>
      <c r="I130" s="33"/>
      <c r="J130" s="33"/>
    </row>
    <row r="131" spans="2:11" ht="19.5" thickBot="1" x14ac:dyDescent="0.35">
      <c r="B131" s="32" t="s">
        <v>29</v>
      </c>
      <c r="C131" s="34">
        <f>C127*C128</f>
        <v>1330</v>
      </c>
      <c r="D131" s="34">
        <f t="shared" ref="D131:J131" si="9">D127*D128</f>
        <v>570</v>
      </c>
      <c r="E131" s="34">
        <f t="shared" si="9"/>
        <v>0</v>
      </c>
      <c r="F131" s="34">
        <f t="shared" si="9"/>
        <v>0</v>
      </c>
      <c r="G131" s="34">
        <f t="shared" si="9"/>
        <v>0</v>
      </c>
      <c r="H131" s="34">
        <f t="shared" si="9"/>
        <v>0</v>
      </c>
      <c r="I131" s="34">
        <f t="shared" si="9"/>
        <v>7600</v>
      </c>
      <c r="J131" s="34">
        <f t="shared" si="9"/>
        <v>0</v>
      </c>
      <c r="K131" s="35">
        <f>SUM(C131:J131)</f>
        <v>9500</v>
      </c>
    </row>
    <row r="135" spans="2:11" ht="21" x14ac:dyDescent="0.35">
      <c r="B135" s="36" t="s">
        <v>30</v>
      </c>
      <c r="C135" s="37"/>
    </row>
    <row r="136" spans="2:11" ht="18.75" x14ac:dyDescent="0.3">
      <c r="C136" s="38" t="s">
        <v>12</v>
      </c>
      <c r="D136" s="39">
        <f>C127</f>
        <v>19</v>
      </c>
      <c r="G136" s="56"/>
    </row>
    <row r="137" spans="2:11" ht="18.75" x14ac:dyDescent="0.3">
      <c r="C137" s="38" t="s">
        <v>13</v>
      </c>
      <c r="D137" s="39">
        <f>D127</f>
        <v>19</v>
      </c>
    </row>
    <row r="138" spans="2:11" ht="18.75" x14ac:dyDescent="0.3">
      <c r="C138" s="38" t="s">
        <v>14</v>
      </c>
      <c r="D138" s="39">
        <f>E127</f>
        <v>0</v>
      </c>
    </row>
    <row r="139" spans="2:11" ht="18.75" x14ac:dyDescent="0.3">
      <c r="C139" s="38" t="s">
        <v>17</v>
      </c>
      <c r="D139" s="39">
        <f>I127</f>
        <v>19</v>
      </c>
    </row>
    <row r="140" spans="2:11" ht="18.75" x14ac:dyDescent="0.3">
      <c r="C140" s="38" t="s">
        <v>15</v>
      </c>
      <c r="D140" s="39">
        <f>F127</f>
        <v>0</v>
      </c>
    </row>
    <row r="141" spans="2:11" ht="18.75" x14ac:dyDescent="0.3">
      <c r="C141" s="38" t="s">
        <v>16</v>
      </c>
      <c r="D141" s="39">
        <f>G127</f>
        <v>0</v>
      </c>
    </row>
    <row r="142" spans="2:11" ht="21" x14ac:dyDescent="0.35">
      <c r="C142" s="57" t="s">
        <v>51</v>
      </c>
      <c r="D142" s="58">
        <f>H127</f>
        <v>0</v>
      </c>
    </row>
    <row r="143" spans="2:11" ht="18.75" x14ac:dyDescent="0.3">
      <c r="C143" s="38" t="s">
        <v>144</v>
      </c>
      <c r="D143" s="39">
        <f>J127</f>
        <v>0</v>
      </c>
    </row>
    <row r="148" spans="1:11" ht="15.75" thickBot="1" x14ac:dyDescent="0.3"/>
    <row r="149" spans="1:11" ht="29.25" thickBot="1" x14ac:dyDescent="0.3">
      <c r="A149" s="119" t="s">
        <v>149</v>
      </c>
      <c r="B149" s="120"/>
      <c r="C149" s="120"/>
      <c r="D149" s="120"/>
      <c r="E149" s="120"/>
      <c r="F149" s="120"/>
      <c r="G149" s="120"/>
      <c r="H149" s="120"/>
      <c r="I149" s="120"/>
      <c r="J149" s="121"/>
      <c r="K149" s="79"/>
    </row>
    <row r="150" spans="1:11" ht="15.75" x14ac:dyDescent="0.25">
      <c r="B150" s="46" t="s">
        <v>11</v>
      </c>
      <c r="C150" s="46" t="s">
        <v>12</v>
      </c>
      <c r="D150" s="46" t="s">
        <v>13</v>
      </c>
      <c r="E150" s="46" t="s">
        <v>14</v>
      </c>
      <c r="F150" s="46" t="s">
        <v>15</v>
      </c>
      <c r="G150" s="46" t="s">
        <v>16</v>
      </c>
      <c r="H150" s="46" t="s">
        <v>44</v>
      </c>
      <c r="I150" s="46" t="s">
        <v>17</v>
      </c>
      <c r="J150" s="47" t="s">
        <v>144</v>
      </c>
    </row>
    <row r="151" spans="1:11" x14ac:dyDescent="0.25">
      <c r="A151" s="102" t="s">
        <v>135</v>
      </c>
      <c r="B151" s="18" t="s">
        <v>139</v>
      </c>
      <c r="C151" s="49">
        <v>75</v>
      </c>
      <c r="D151" s="49">
        <v>41</v>
      </c>
      <c r="E151" s="50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</row>
    <row r="152" spans="1:11" s="20" customFormat="1" x14ac:dyDescent="0.25">
      <c r="A152" s="103"/>
      <c r="B152" s="18" t="s">
        <v>142</v>
      </c>
      <c r="C152" s="50">
        <v>142</v>
      </c>
      <c r="D152" s="50">
        <v>26</v>
      </c>
      <c r="E152" s="50">
        <v>0</v>
      </c>
      <c r="F152" s="50">
        <v>0</v>
      </c>
      <c r="G152" s="50">
        <v>0</v>
      </c>
      <c r="H152" s="50">
        <v>0</v>
      </c>
      <c r="I152" s="50">
        <v>12</v>
      </c>
      <c r="J152" s="50">
        <v>0</v>
      </c>
    </row>
    <row r="153" spans="1:11" s="20" customFormat="1" x14ac:dyDescent="0.25">
      <c r="A153" s="104"/>
      <c r="B153" s="18" t="s">
        <v>145</v>
      </c>
      <c r="C153" s="50">
        <v>51</v>
      </c>
      <c r="D153" s="50">
        <v>5</v>
      </c>
      <c r="E153" s="50">
        <v>0</v>
      </c>
      <c r="F153" s="50">
        <v>0</v>
      </c>
      <c r="G153" s="50">
        <v>0</v>
      </c>
      <c r="H153" s="50">
        <v>0</v>
      </c>
      <c r="I153" s="50">
        <v>28</v>
      </c>
      <c r="J153" s="50">
        <v>0</v>
      </c>
    </row>
    <row r="154" spans="1:11" s="20" customFormat="1" x14ac:dyDescent="0.25">
      <c r="A154" s="51"/>
      <c r="B154" s="24"/>
      <c r="C154" s="25"/>
      <c r="D154" s="25"/>
      <c r="E154" s="25"/>
      <c r="F154" s="25"/>
      <c r="G154" s="25"/>
      <c r="H154" s="25"/>
      <c r="I154" s="25"/>
      <c r="J154" s="25"/>
    </row>
    <row r="155" spans="1:11" x14ac:dyDescent="0.25">
      <c r="A155" s="51"/>
      <c r="B155" s="26"/>
      <c r="C155" s="27"/>
      <c r="D155" s="27"/>
      <c r="E155" s="27"/>
      <c r="F155" s="52"/>
      <c r="G155" s="52"/>
      <c r="H155" s="53"/>
      <c r="I155" s="28"/>
      <c r="J155" s="28"/>
    </row>
    <row r="156" spans="1:11" s="31" customFormat="1" ht="15.75" x14ac:dyDescent="0.25">
      <c r="B156" s="29" t="s">
        <v>27</v>
      </c>
      <c r="C156" s="54">
        <f>SUM(C151:C153)</f>
        <v>268</v>
      </c>
      <c r="D156" s="54">
        <f t="shared" ref="D156:J156" si="10">SUM(D151:D153)</f>
        <v>72</v>
      </c>
      <c r="E156" s="54">
        <f t="shared" si="10"/>
        <v>0</v>
      </c>
      <c r="F156" s="54">
        <f t="shared" si="10"/>
        <v>0</v>
      </c>
      <c r="G156" s="54">
        <f t="shared" si="10"/>
        <v>0</v>
      </c>
      <c r="H156" s="54">
        <f t="shared" si="10"/>
        <v>0</v>
      </c>
      <c r="I156" s="54">
        <f t="shared" si="10"/>
        <v>40</v>
      </c>
      <c r="J156" s="54">
        <f t="shared" si="10"/>
        <v>0</v>
      </c>
    </row>
    <row r="157" spans="1:11" x14ac:dyDescent="0.25">
      <c r="B157" s="32" t="s">
        <v>28</v>
      </c>
      <c r="C157" s="55">
        <v>40</v>
      </c>
      <c r="D157" s="55">
        <v>30</v>
      </c>
      <c r="E157" s="55">
        <v>40</v>
      </c>
      <c r="F157" s="55"/>
      <c r="G157" s="55"/>
      <c r="H157" s="55"/>
      <c r="I157" s="55">
        <v>400</v>
      </c>
      <c r="J157" s="55"/>
    </row>
    <row r="158" spans="1:11" x14ac:dyDescent="0.25">
      <c r="B158" s="32"/>
      <c r="C158" s="55"/>
      <c r="D158" s="55"/>
      <c r="E158" s="55"/>
      <c r="F158" s="55"/>
      <c r="G158" s="55"/>
      <c r="H158" s="55"/>
      <c r="I158" s="55"/>
      <c r="J158" s="55"/>
    </row>
    <row r="159" spans="1:11" ht="15.75" thickBot="1" x14ac:dyDescent="0.3">
      <c r="B159" s="32"/>
      <c r="C159" s="33"/>
      <c r="D159" s="33"/>
      <c r="E159" s="33"/>
      <c r="F159" s="33"/>
      <c r="G159" s="33"/>
      <c r="H159" s="33"/>
      <c r="I159" s="33"/>
      <c r="J159" s="33"/>
    </row>
    <row r="160" spans="1:11" ht="19.5" thickBot="1" x14ac:dyDescent="0.35">
      <c r="B160" s="32" t="s">
        <v>29</v>
      </c>
      <c r="C160" s="34">
        <f>C156*C157</f>
        <v>10720</v>
      </c>
      <c r="D160" s="34">
        <f t="shared" ref="D160:I160" si="11">D156*D157</f>
        <v>2160</v>
      </c>
      <c r="E160" s="34">
        <f t="shared" si="11"/>
        <v>0</v>
      </c>
      <c r="F160" s="34">
        <f t="shared" si="11"/>
        <v>0</v>
      </c>
      <c r="G160" s="34">
        <f t="shared" si="11"/>
        <v>0</v>
      </c>
      <c r="H160" s="34">
        <f t="shared" si="11"/>
        <v>0</v>
      </c>
      <c r="I160" s="34">
        <f t="shared" si="11"/>
        <v>16000</v>
      </c>
      <c r="J160" s="34">
        <f>J156*J157</f>
        <v>0</v>
      </c>
      <c r="K160" s="35">
        <f>SUM(C160:J160)</f>
        <v>28880</v>
      </c>
    </row>
    <row r="164" spans="2:7" ht="21" x14ac:dyDescent="0.35">
      <c r="B164" s="36" t="s">
        <v>30</v>
      </c>
      <c r="C164" s="37"/>
    </row>
    <row r="165" spans="2:7" ht="18.75" x14ac:dyDescent="0.3">
      <c r="C165" s="38" t="s">
        <v>12</v>
      </c>
      <c r="D165" s="39">
        <f>C156</f>
        <v>268</v>
      </c>
      <c r="G165" s="56"/>
    </row>
    <row r="166" spans="2:7" ht="18.75" x14ac:dyDescent="0.3">
      <c r="C166" s="38" t="s">
        <v>13</v>
      </c>
      <c r="D166" s="39">
        <f>D156</f>
        <v>72</v>
      </c>
    </row>
    <row r="167" spans="2:7" ht="18.75" x14ac:dyDescent="0.3">
      <c r="C167" s="38" t="s">
        <v>14</v>
      </c>
      <c r="D167" s="39">
        <f>E156</f>
        <v>0</v>
      </c>
    </row>
    <row r="168" spans="2:7" ht="18.75" x14ac:dyDescent="0.3">
      <c r="C168" s="38" t="s">
        <v>17</v>
      </c>
      <c r="D168" s="39">
        <f>I156</f>
        <v>40</v>
      </c>
    </row>
    <row r="169" spans="2:7" ht="18.75" x14ac:dyDescent="0.3">
      <c r="C169" s="38" t="s">
        <v>15</v>
      </c>
      <c r="D169" s="39">
        <f>F156</f>
        <v>0</v>
      </c>
    </row>
    <row r="170" spans="2:7" ht="18.75" x14ac:dyDescent="0.3">
      <c r="C170" s="38" t="s">
        <v>16</v>
      </c>
      <c r="D170" s="39">
        <f>G156</f>
        <v>0</v>
      </c>
    </row>
    <row r="171" spans="2:7" ht="21" x14ac:dyDescent="0.35">
      <c r="C171" s="57" t="s">
        <v>51</v>
      </c>
      <c r="D171" s="58">
        <f>H156</f>
        <v>0</v>
      </c>
    </row>
    <row r="172" spans="2:7" ht="18.75" x14ac:dyDescent="0.3">
      <c r="C172" s="38" t="s">
        <v>144</v>
      </c>
      <c r="D172" s="39">
        <f>J156</f>
        <v>0</v>
      </c>
    </row>
  </sheetData>
  <mergeCells count="12">
    <mergeCell ref="A151:A153"/>
    <mergeCell ref="A1:I1"/>
    <mergeCell ref="A3:A10"/>
    <mergeCell ref="A33:J33"/>
    <mergeCell ref="A35:A38"/>
    <mergeCell ref="A63:J63"/>
    <mergeCell ref="A65:A69"/>
    <mergeCell ref="A94:J94"/>
    <mergeCell ref="A96:A98"/>
    <mergeCell ref="A120:J120"/>
    <mergeCell ref="A122:A124"/>
    <mergeCell ref="A149:J14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37" workbookViewId="0">
      <selection activeCell="R17" sqref="R17"/>
    </sheetView>
  </sheetViews>
  <sheetFormatPr defaultRowHeight="15" x14ac:dyDescent="0.25"/>
  <cols>
    <col min="1" max="1" width="10.28515625" customWidth="1"/>
    <col min="2" max="2" width="19.85546875" customWidth="1"/>
    <col min="3" max="3" width="29.28515625" customWidth="1"/>
    <col min="4" max="12" width="6.7109375" customWidth="1"/>
  </cols>
  <sheetData>
    <row r="1" spans="1:15" ht="27" customHeight="1" thickBot="1" x14ac:dyDescent="0.45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/>
    </row>
    <row r="2" spans="1:15" ht="15.75" x14ac:dyDescent="0.25">
      <c r="A2" s="1" t="s">
        <v>1</v>
      </c>
      <c r="B2" s="1" t="s">
        <v>2</v>
      </c>
      <c r="C2" s="1" t="s">
        <v>3</v>
      </c>
      <c r="D2" s="2">
        <v>44</v>
      </c>
      <c r="E2" s="2">
        <v>46</v>
      </c>
      <c r="F2" s="2">
        <v>48</v>
      </c>
      <c r="G2" s="2">
        <v>50</v>
      </c>
      <c r="H2" s="2">
        <v>52</v>
      </c>
      <c r="I2" s="2">
        <v>54</v>
      </c>
      <c r="J2" s="2">
        <v>56</v>
      </c>
      <c r="K2" s="2">
        <v>58</v>
      </c>
      <c r="L2" s="2">
        <v>60</v>
      </c>
      <c r="M2" s="2">
        <v>62</v>
      </c>
      <c r="N2" s="3" t="s">
        <v>4</v>
      </c>
    </row>
    <row r="3" spans="1:15" ht="17.25" x14ac:dyDescent="0.3">
      <c r="A3" s="4">
        <v>1</v>
      </c>
      <c r="B3" s="5" t="s">
        <v>150</v>
      </c>
      <c r="C3" s="4" t="s">
        <v>151</v>
      </c>
      <c r="D3" s="4">
        <v>1</v>
      </c>
      <c r="E3" s="4">
        <v>13</v>
      </c>
      <c r="F3" s="4">
        <v>50</v>
      </c>
      <c r="G3" s="4">
        <v>80</v>
      </c>
      <c r="H3" s="4">
        <v>76</v>
      </c>
      <c r="I3" s="4">
        <v>51</v>
      </c>
      <c r="J3" s="4">
        <v>20</v>
      </c>
      <c r="K3" s="4">
        <v>4</v>
      </c>
      <c r="L3" s="4">
        <v>3</v>
      </c>
      <c r="M3" s="4">
        <v>2</v>
      </c>
      <c r="N3" s="4">
        <f>SUM(D3:M3)</f>
        <v>300</v>
      </c>
    </row>
    <row r="4" spans="1:15" ht="15.75" thickBot="1" x14ac:dyDescent="0.3"/>
    <row r="5" spans="1:15" ht="20.25" thickBot="1" x14ac:dyDescent="0.35">
      <c r="N5" s="6">
        <f>SUM(N3:N4)</f>
        <v>300</v>
      </c>
      <c r="O5" s="7"/>
    </row>
    <row r="7" spans="1:15" ht="15.75" x14ac:dyDescent="0.25">
      <c r="A7" s="8" t="s">
        <v>1</v>
      </c>
      <c r="B7" s="8" t="s">
        <v>2</v>
      </c>
      <c r="C7" s="8" t="s">
        <v>3</v>
      </c>
      <c r="D7" s="2">
        <v>46</v>
      </c>
      <c r="E7" s="2">
        <v>48</v>
      </c>
      <c r="F7" s="2">
        <v>50</v>
      </c>
      <c r="G7" s="2">
        <v>52</v>
      </c>
      <c r="H7" s="2">
        <v>54</v>
      </c>
      <c r="I7" s="2">
        <v>56</v>
      </c>
      <c r="J7" s="9" t="s">
        <v>4</v>
      </c>
    </row>
    <row r="8" spans="1:15" ht="17.25" x14ac:dyDescent="0.3">
      <c r="A8" s="4">
        <v>2</v>
      </c>
      <c r="B8" s="5" t="s">
        <v>150</v>
      </c>
      <c r="C8" s="4" t="s">
        <v>152</v>
      </c>
      <c r="D8" s="10">
        <v>1</v>
      </c>
      <c r="E8" s="10">
        <v>7</v>
      </c>
      <c r="F8" s="10">
        <v>11</v>
      </c>
      <c r="G8" s="10">
        <v>14</v>
      </c>
      <c r="H8" s="10">
        <v>11</v>
      </c>
      <c r="I8" s="10">
        <v>2</v>
      </c>
      <c r="J8" s="4">
        <f>SUM(D8:I8)</f>
        <v>46</v>
      </c>
    </row>
    <row r="9" spans="1:15" ht="15.75" thickBot="1" x14ac:dyDescent="0.3"/>
    <row r="10" spans="1:15" ht="20.25" thickBot="1" x14ac:dyDescent="0.35">
      <c r="J10" s="6">
        <f>SUM(J8:J9)</f>
        <v>46</v>
      </c>
      <c r="K10" s="7"/>
    </row>
    <row r="11" spans="1:15" ht="19.5" x14ac:dyDescent="0.3">
      <c r="J11" s="11"/>
      <c r="K11" s="7"/>
    </row>
    <row r="14" spans="1:15" ht="15.75" x14ac:dyDescent="0.25">
      <c r="A14" s="8" t="s">
        <v>1</v>
      </c>
      <c r="B14" s="8" t="s">
        <v>2</v>
      </c>
      <c r="C14" s="8" t="s">
        <v>3</v>
      </c>
      <c r="D14" s="40">
        <v>50</v>
      </c>
      <c r="E14" s="40">
        <v>52</v>
      </c>
      <c r="F14" s="40">
        <v>54</v>
      </c>
      <c r="G14" s="40">
        <v>56</v>
      </c>
      <c r="H14" s="40">
        <v>58</v>
      </c>
      <c r="I14" s="40">
        <v>62</v>
      </c>
      <c r="J14" s="9" t="s">
        <v>4</v>
      </c>
    </row>
    <row r="15" spans="1:15" ht="17.25" x14ac:dyDescent="0.3">
      <c r="A15" s="4">
        <v>3</v>
      </c>
      <c r="B15" s="5" t="s">
        <v>150</v>
      </c>
      <c r="C15" s="4" t="s">
        <v>153</v>
      </c>
      <c r="D15" s="4">
        <v>1</v>
      </c>
      <c r="E15" s="4">
        <v>2</v>
      </c>
      <c r="F15" s="4">
        <v>2</v>
      </c>
      <c r="G15" s="4">
        <v>1</v>
      </c>
      <c r="H15" s="4">
        <v>1</v>
      </c>
      <c r="I15" s="4">
        <v>1</v>
      </c>
      <c r="J15" s="4">
        <f>SUM(D15:I15)</f>
        <v>8</v>
      </c>
    </row>
    <row r="16" spans="1:15" ht="15.75" thickBot="1" x14ac:dyDescent="0.3"/>
    <row r="17" spans="1:11" ht="20.25" thickBot="1" x14ac:dyDescent="0.35">
      <c r="J17" s="6">
        <f>SUM(J15:J16)</f>
        <v>8</v>
      </c>
      <c r="K17" s="7"/>
    </row>
    <row r="19" spans="1:11" ht="15.75" x14ac:dyDescent="0.25">
      <c r="A19" s="8" t="s">
        <v>1</v>
      </c>
      <c r="B19" s="8" t="s">
        <v>2</v>
      </c>
      <c r="C19" s="8" t="s">
        <v>3</v>
      </c>
      <c r="D19" s="40">
        <v>52</v>
      </c>
      <c r="E19" s="40">
        <v>54</v>
      </c>
      <c r="F19" s="40">
        <v>56</v>
      </c>
      <c r="G19" s="9" t="s">
        <v>4</v>
      </c>
    </row>
    <row r="20" spans="1:11" ht="17.25" x14ac:dyDescent="0.3">
      <c r="A20" s="4">
        <v>4</v>
      </c>
      <c r="B20" s="5" t="s">
        <v>150</v>
      </c>
      <c r="C20" s="4" t="s">
        <v>154</v>
      </c>
      <c r="D20" s="10">
        <v>1</v>
      </c>
      <c r="E20" s="10">
        <v>1</v>
      </c>
      <c r="F20" s="10">
        <v>1</v>
      </c>
      <c r="G20" s="4">
        <f>SUM(D20:F20)</f>
        <v>3</v>
      </c>
    </row>
    <row r="21" spans="1:11" ht="15.75" thickBot="1" x14ac:dyDescent="0.3"/>
    <row r="22" spans="1:11" ht="20.25" thickBot="1" x14ac:dyDescent="0.35">
      <c r="G22" s="6">
        <f>SUM(G20:G21)</f>
        <v>3</v>
      </c>
      <c r="H22" s="7"/>
    </row>
    <row r="26" spans="1:11" ht="15.75" x14ac:dyDescent="0.25">
      <c r="A26" s="8" t="s">
        <v>1</v>
      </c>
      <c r="B26" s="8" t="s">
        <v>2</v>
      </c>
      <c r="C26" s="8" t="s">
        <v>3</v>
      </c>
      <c r="D26" s="2">
        <v>48</v>
      </c>
      <c r="E26" s="2">
        <v>50</v>
      </c>
      <c r="F26" s="2">
        <v>52</v>
      </c>
      <c r="G26" s="2">
        <v>54</v>
      </c>
      <c r="H26" s="2">
        <v>56</v>
      </c>
      <c r="I26" s="2">
        <v>58</v>
      </c>
      <c r="J26" s="9" t="s">
        <v>4</v>
      </c>
    </row>
    <row r="27" spans="1:11" ht="17.25" x14ac:dyDescent="0.3">
      <c r="A27" s="4">
        <v>1</v>
      </c>
      <c r="B27" s="5" t="s">
        <v>155</v>
      </c>
      <c r="C27" s="4" t="s">
        <v>153</v>
      </c>
      <c r="D27" s="4">
        <v>5</v>
      </c>
      <c r="E27" s="4">
        <v>8</v>
      </c>
      <c r="F27" s="4">
        <v>7</v>
      </c>
      <c r="G27" s="4">
        <v>4</v>
      </c>
      <c r="H27" s="4">
        <v>1</v>
      </c>
      <c r="I27" s="4">
        <v>1</v>
      </c>
      <c r="J27" s="4">
        <f>SUM(D27:I27)</f>
        <v>26</v>
      </c>
    </row>
    <row r="28" spans="1:11" ht="15.75" thickBot="1" x14ac:dyDescent="0.3"/>
    <row r="29" spans="1:11" ht="20.25" thickBot="1" x14ac:dyDescent="0.35">
      <c r="J29" s="6">
        <f>SUM(J27:J28)</f>
        <v>26</v>
      </c>
      <c r="K29" s="7"/>
    </row>
    <row r="31" spans="1:11" ht="15.75" x14ac:dyDescent="0.25">
      <c r="A31" s="8" t="s">
        <v>1</v>
      </c>
      <c r="B31" s="8" t="s">
        <v>2</v>
      </c>
      <c r="C31" s="8" t="s">
        <v>3</v>
      </c>
      <c r="D31" s="2">
        <v>50</v>
      </c>
      <c r="E31" s="2">
        <v>52</v>
      </c>
      <c r="F31" s="2">
        <v>54</v>
      </c>
      <c r="G31" s="9" t="s">
        <v>4</v>
      </c>
    </row>
    <row r="32" spans="1:11" ht="17.25" x14ac:dyDescent="0.3">
      <c r="A32" s="4">
        <v>2</v>
      </c>
      <c r="B32" s="5" t="s">
        <v>155</v>
      </c>
      <c r="C32" s="4" t="s">
        <v>154</v>
      </c>
      <c r="D32" s="10">
        <v>3</v>
      </c>
      <c r="E32" s="10">
        <v>4</v>
      </c>
      <c r="F32" s="10">
        <v>3</v>
      </c>
      <c r="G32" s="4">
        <f>SUM(D32:F32)</f>
        <v>10</v>
      </c>
    </row>
    <row r="33" spans="7:14" ht="15.75" thickBot="1" x14ac:dyDescent="0.3"/>
    <row r="34" spans="7:14" ht="20.25" thickBot="1" x14ac:dyDescent="0.35">
      <c r="G34" s="6">
        <f>SUM(G32:G33)</f>
        <v>10</v>
      </c>
      <c r="H34" s="7"/>
    </row>
    <row r="35" spans="7:14" ht="15.75" thickBot="1" x14ac:dyDescent="0.3"/>
    <row r="36" spans="7:14" ht="35.25" customHeight="1" thickBot="1" x14ac:dyDescent="0.3">
      <c r="G36" s="109" t="s">
        <v>8</v>
      </c>
      <c r="H36" s="110"/>
      <c r="I36" s="110"/>
      <c r="J36" s="110"/>
      <c r="K36" s="110"/>
      <c r="L36" s="110"/>
      <c r="M36" s="111"/>
      <c r="N36" s="80">
        <f>G34+J29+G22+J17+J10+N5</f>
        <v>393</v>
      </c>
    </row>
  </sheetData>
  <mergeCells count="2">
    <mergeCell ref="A1:N1"/>
    <mergeCell ref="G36:M3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37" workbookViewId="0">
      <selection activeCell="P57" sqref="P57"/>
    </sheetView>
  </sheetViews>
  <sheetFormatPr defaultRowHeight="15" x14ac:dyDescent="0.25"/>
  <cols>
    <col min="2" max="2" width="30.5703125" bestFit="1" customWidth="1"/>
    <col min="3" max="3" width="11.28515625" bestFit="1" customWidth="1"/>
    <col min="4" max="4" width="8.140625" bestFit="1" customWidth="1"/>
    <col min="5" max="5" width="9.5703125" bestFit="1" customWidth="1"/>
    <col min="6" max="6" width="8.42578125" bestFit="1" customWidth="1"/>
    <col min="7" max="7" width="4.42578125" bestFit="1" customWidth="1"/>
    <col min="8" max="8" width="13.85546875" bestFit="1" customWidth="1"/>
    <col min="9" max="9" width="4.85546875" customWidth="1"/>
    <col min="10" max="10" width="8" bestFit="1" customWidth="1"/>
    <col min="11" max="11" width="8.42578125" bestFit="1" customWidth="1"/>
  </cols>
  <sheetData>
    <row r="1" spans="1:11" ht="36.75" customHeight="1" thickBot="1" x14ac:dyDescent="0.65">
      <c r="A1" s="124" t="s">
        <v>156</v>
      </c>
      <c r="B1" s="125"/>
      <c r="C1" s="125"/>
      <c r="D1" s="125"/>
      <c r="E1" s="125"/>
      <c r="F1" s="125"/>
      <c r="G1" s="125"/>
      <c r="H1" s="125"/>
      <c r="I1" s="125"/>
      <c r="J1" s="126"/>
    </row>
    <row r="2" spans="1:11" ht="29.25" thickBot="1" x14ac:dyDescent="0.3">
      <c r="A2" s="119" t="s">
        <v>157</v>
      </c>
      <c r="B2" s="120"/>
      <c r="C2" s="120"/>
      <c r="D2" s="120"/>
      <c r="E2" s="120"/>
      <c r="F2" s="120"/>
      <c r="G2" s="120"/>
      <c r="H2" s="120"/>
      <c r="I2" s="120"/>
      <c r="J2" s="121"/>
      <c r="K2" s="79"/>
    </row>
    <row r="3" spans="1:11" ht="15.75" x14ac:dyDescent="0.25">
      <c r="B3" s="46" t="s">
        <v>11</v>
      </c>
      <c r="C3" s="46" t="s">
        <v>12</v>
      </c>
      <c r="D3" s="46" t="s">
        <v>13</v>
      </c>
      <c r="E3" s="46" t="s">
        <v>14</v>
      </c>
      <c r="F3" s="46" t="s">
        <v>15</v>
      </c>
      <c r="G3" s="46" t="s">
        <v>16</v>
      </c>
      <c r="H3" s="46" t="s">
        <v>44</v>
      </c>
      <c r="I3" s="46" t="s">
        <v>17</v>
      </c>
      <c r="J3" s="47" t="s">
        <v>144</v>
      </c>
    </row>
    <row r="4" spans="1:11" ht="45.75" customHeight="1" x14ac:dyDescent="0.3">
      <c r="A4" s="127"/>
      <c r="B4" s="81" t="s">
        <v>141</v>
      </c>
      <c r="C4" s="15">
        <v>67</v>
      </c>
      <c r="D4" s="15">
        <v>13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</row>
    <row r="5" spans="1:11" s="20" customFormat="1" ht="45.75" customHeight="1" x14ac:dyDescent="0.3">
      <c r="A5" s="122"/>
      <c r="B5" s="82" t="s">
        <v>142</v>
      </c>
      <c r="C5" s="19">
        <v>90</v>
      </c>
      <c r="D5" s="19">
        <v>37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</row>
    <row r="6" spans="1:11" s="20" customFormat="1" ht="45.75" customHeight="1" x14ac:dyDescent="0.3">
      <c r="A6" s="122"/>
      <c r="B6" s="82" t="s">
        <v>145</v>
      </c>
      <c r="C6" s="19">
        <v>0</v>
      </c>
      <c r="D6" s="19">
        <v>103</v>
      </c>
      <c r="E6" s="19">
        <v>143</v>
      </c>
      <c r="F6" s="19">
        <v>76</v>
      </c>
      <c r="G6" s="19">
        <v>0</v>
      </c>
      <c r="H6" s="19">
        <v>0</v>
      </c>
      <c r="I6" s="19">
        <v>0</v>
      </c>
      <c r="J6" s="19">
        <v>0</v>
      </c>
    </row>
    <row r="7" spans="1:11" s="20" customFormat="1" ht="16.5" customHeight="1" x14ac:dyDescent="0.25">
      <c r="A7" s="51"/>
      <c r="B7" s="24"/>
      <c r="C7" s="25"/>
      <c r="D7" s="25"/>
      <c r="E7" s="25"/>
      <c r="F7" s="25"/>
      <c r="G7" s="25"/>
      <c r="H7" s="25"/>
      <c r="I7" s="25"/>
      <c r="J7" s="25"/>
    </row>
    <row r="8" spans="1:11" x14ac:dyDescent="0.25">
      <c r="A8" s="51"/>
      <c r="B8" s="26"/>
      <c r="C8" s="27"/>
      <c r="D8" s="27"/>
      <c r="E8" s="27"/>
      <c r="F8" s="52"/>
      <c r="G8" s="52"/>
      <c r="H8" s="53"/>
      <c r="I8" s="28"/>
      <c r="J8" s="28"/>
    </row>
    <row r="9" spans="1:11" s="31" customFormat="1" ht="17.25" x14ac:dyDescent="0.3">
      <c r="B9" s="29" t="s">
        <v>27</v>
      </c>
      <c r="C9" s="30">
        <f t="shared" ref="C9:J9" si="0">SUM(C4:C6)</f>
        <v>157</v>
      </c>
      <c r="D9" s="30">
        <f t="shared" si="0"/>
        <v>153</v>
      </c>
      <c r="E9" s="30">
        <f t="shared" si="0"/>
        <v>143</v>
      </c>
      <c r="F9" s="30">
        <f t="shared" si="0"/>
        <v>76</v>
      </c>
      <c r="G9" s="30">
        <f t="shared" si="0"/>
        <v>0</v>
      </c>
      <c r="H9" s="30">
        <f t="shared" si="0"/>
        <v>0</v>
      </c>
      <c r="I9" s="30">
        <f t="shared" si="0"/>
        <v>0</v>
      </c>
      <c r="J9" s="30">
        <f t="shared" si="0"/>
        <v>0</v>
      </c>
    </row>
    <row r="10" spans="1:11" ht="17.25" x14ac:dyDescent="0.3">
      <c r="B10" s="32" t="s">
        <v>28</v>
      </c>
      <c r="C10" s="30">
        <v>70</v>
      </c>
      <c r="D10" s="30">
        <v>30</v>
      </c>
      <c r="E10" s="30">
        <v>40</v>
      </c>
      <c r="F10" s="30">
        <v>300</v>
      </c>
      <c r="G10" s="30"/>
      <c r="H10" s="30"/>
      <c r="I10" s="30"/>
      <c r="J10" s="30"/>
    </row>
    <row r="11" spans="1:11" ht="17.25" x14ac:dyDescent="0.3">
      <c r="B11" s="32"/>
      <c r="C11" s="30"/>
      <c r="D11" s="30"/>
      <c r="E11" s="30"/>
      <c r="F11" s="30"/>
      <c r="G11" s="30"/>
      <c r="H11" s="30"/>
      <c r="I11" s="30"/>
      <c r="J11" s="30"/>
    </row>
    <row r="12" spans="1:11" ht="15.75" thickBot="1" x14ac:dyDescent="0.3">
      <c r="B12" s="32"/>
      <c r="C12" s="33"/>
      <c r="D12" s="33"/>
      <c r="E12" s="33"/>
      <c r="F12" s="33"/>
      <c r="G12" s="33"/>
      <c r="H12" s="33"/>
      <c r="I12" s="33"/>
      <c r="J12" s="33"/>
    </row>
    <row r="13" spans="1:11" ht="19.5" thickBot="1" x14ac:dyDescent="0.35">
      <c r="B13" s="32" t="s">
        <v>29</v>
      </c>
      <c r="C13" s="34">
        <f>C9*C10</f>
        <v>10990</v>
      </c>
      <c r="D13" s="34">
        <f>D9*D10</f>
        <v>4590</v>
      </c>
      <c r="E13" s="34">
        <f>E9*E10</f>
        <v>5720</v>
      </c>
      <c r="F13" s="34">
        <f t="shared" ref="F13:H13" si="1">F9*F10</f>
        <v>22800</v>
      </c>
      <c r="G13" s="34">
        <f t="shared" si="1"/>
        <v>0</v>
      </c>
      <c r="H13" s="34">
        <f t="shared" si="1"/>
        <v>0</v>
      </c>
      <c r="I13" s="34">
        <f>I9*I10</f>
        <v>0</v>
      </c>
      <c r="J13" s="34">
        <f>J9*J10</f>
        <v>0</v>
      </c>
      <c r="K13" s="35">
        <f>SUM(C13:J13)</f>
        <v>44100</v>
      </c>
    </row>
    <row r="17" spans="1:11" ht="21" x14ac:dyDescent="0.35">
      <c r="B17" s="36" t="s">
        <v>30</v>
      </c>
      <c r="C17" s="37"/>
    </row>
    <row r="18" spans="1:11" ht="18.75" x14ac:dyDescent="0.3">
      <c r="C18" s="38" t="s">
        <v>12</v>
      </c>
      <c r="D18" s="39">
        <f>C9</f>
        <v>157</v>
      </c>
      <c r="G18" s="56"/>
    </row>
    <row r="19" spans="1:11" ht="18.75" x14ac:dyDescent="0.3">
      <c r="C19" s="38" t="s">
        <v>13</v>
      </c>
      <c r="D19" s="39">
        <f>D9</f>
        <v>153</v>
      </c>
    </row>
    <row r="20" spans="1:11" ht="18.75" x14ac:dyDescent="0.3">
      <c r="C20" s="38" t="s">
        <v>14</v>
      </c>
      <c r="D20" s="39">
        <f>E9</f>
        <v>143</v>
      </c>
    </row>
    <row r="21" spans="1:11" ht="18.75" x14ac:dyDescent="0.3">
      <c r="C21" s="38" t="s">
        <v>17</v>
      </c>
      <c r="D21" s="39">
        <f>I9</f>
        <v>0</v>
      </c>
    </row>
    <row r="22" spans="1:11" ht="18.75" x14ac:dyDescent="0.3">
      <c r="C22" s="38" t="s">
        <v>15</v>
      </c>
      <c r="D22" s="39">
        <f>F9</f>
        <v>76</v>
      </c>
    </row>
    <row r="23" spans="1:11" ht="18.75" x14ac:dyDescent="0.3">
      <c r="C23" s="38" t="s">
        <v>16</v>
      </c>
      <c r="D23" s="39">
        <f>G9</f>
        <v>0</v>
      </c>
    </row>
    <row r="24" spans="1:11" ht="21" x14ac:dyDescent="0.35">
      <c r="C24" s="57" t="s">
        <v>51</v>
      </c>
      <c r="D24" s="58">
        <f>H9</f>
        <v>0</v>
      </c>
    </row>
    <row r="25" spans="1:11" ht="18.75" x14ac:dyDescent="0.3">
      <c r="C25" s="38" t="s">
        <v>144</v>
      </c>
      <c r="D25" s="39">
        <f>J9</f>
        <v>0</v>
      </c>
    </row>
    <row r="30" spans="1:11" ht="15.75" thickBot="1" x14ac:dyDescent="0.3"/>
    <row r="31" spans="1:11" ht="36.75" customHeight="1" thickBot="1" x14ac:dyDescent="0.65">
      <c r="A31" s="124" t="s">
        <v>156</v>
      </c>
      <c r="B31" s="125"/>
      <c r="C31" s="125"/>
      <c r="D31" s="125"/>
      <c r="E31" s="125"/>
      <c r="F31" s="125"/>
      <c r="G31" s="125"/>
      <c r="H31" s="125"/>
      <c r="I31" s="125"/>
      <c r="J31" s="126"/>
    </row>
    <row r="32" spans="1:11" ht="29.25" thickBot="1" x14ac:dyDescent="0.3">
      <c r="A32" s="119" t="s">
        <v>158</v>
      </c>
      <c r="B32" s="120"/>
      <c r="C32" s="120"/>
      <c r="D32" s="120"/>
      <c r="E32" s="120"/>
      <c r="F32" s="120"/>
      <c r="G32" s="120"/>
      <c r="H32" s="120"/>
      <c r="I32" s="120"/>
      <c r="J32" s="121"/>
      <c r="K32" s="79"/>
    </row>
    <row r="33" spans="1:11" ht="15.75" x14ac:dyDescent="0.25">
      <c r="B33" s="46" t="s">
        <v>11</v>
      </c>
      <c r="C33" s="46" t="s">
        <v>12</v>
      </c>
      <c r="D33" s="46" t="s">
        <v>13</v>
      </c>
      <c r="E33" s="46" t="s">
        <v>14</v>
      </c>
      <c r="F33" s="46" t="s">
        <v>15</v>
      </c>
      <c r="G33" s="46" t="s">
        <v>16</v>
      </c>
      <c r="H33" s="46" t="s">
        <v>44</v>
      </c>
      <c r="I33" s="46" t="s">
        <v>17</v>
      </c>
      <c r="J33" s="47" t="s">
        <v>144</v>
      </c>
    </row>
    <row r="34" spans="1:11" s="20" customFormat="1" ht="45.75" customHeight="1" x14ac:dyDescent="0.3">
      <c r="A34" s="122"/>
      <c r="B34" s="82" t="s">
        <v>145</v>
      </c>
      <c r="C34" s="19">
        <v>33</v>
      </c>
      <c r="D34" s="19">
        <v>13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</row>
    <row r="35" spans="1:11" s="20" customFormat="1" ht="36" customHeight="1" x14ac:dyDescent="0.3">
      <c r="A35" s="122"/>
      <c r="B35" s="82"/>
      <c r="C35" s="19"/>
      <c r="D35" s="19"/>
      <c r="E35" s="19"/>
      <c r="F35" s="19"/>
      <c r="G35" s="19"/>
      <c r="H35" s="19"/>
      <c r="I35" s="19"/>
      <c r="J35" s="19"/>
    </row>
    <row r="36" spans="1:11" s="20" customFormat="1" ht="36" customHeight="1" x14ac:dyDescent="0.3">
      <c r="A36" s="123"/>
      <c r="B36" s="82"/>
      <c r="C36" s="19"/>
      <c r="D36" s="19"/>
      <c r="E36" s="19"/>
      <c r="F36" s="19"/>
      <c r="G36" s="19"/>
      <c r="H36" s="19"/>
      <c r="I36" s="19"/>
      <c r="J36" s="19"/>
    </row>
    <row r="37" spans="1:11" s="20" customFormat="1" ht="16.5" customHeight="1" x14ac:dyDescent="0.25">
      <c r="A37" s="51"/>
      <c r="B37" s="24"/>
      <c r="C37" s="25"/>
      <c r="D37" s="25"/>
      <c r="E37" s="25"/>
      <c r="F37" s="25"/>
      <c r="G37" s="25"/>
      <c r="H37" s="25"/>
      <c r="I37" s="25"/>
      <c r="J37" s="25"/>
    </row>
    <row r="38" spans="1:11" x14ac:dyDescent="0.25">
      <c r="A38" s="51"/>
      <c r="B38" s="26"/>
      <c r="C38" s="27"/>
      <c r="D38" s="27"/>
      <c r="E38" s="27"/>
      <c r="F38" s="52"/>
      <c r="G38" s="52"/>
      <c r="H38" s="53"/>
      <c r="I38" s="28"/>
      <c r="J38" s="28"/>
    </row>
    <row r="39" spans="1:11" s="31" customFormat="1" ht="17.25" x14ac:dyDescent="0.3">
      <c r="B39" s="29" t="s">
        <v>27</v>
      </c>
      <c r="C39" s="30">
        <f t="shared" ref="C39:J39" si="2">SUM(C34:C36)</f>
        <v>33</v>
      </c>
      <c r="D39" s="30">
        <f t="shared" si="2"/>
        <v>13</v>
      </c>
      <c r="E39" s="30">
        <f t="shared" si="2"/>
        <v>0</v>
      </c>
      <c r="F39" s="30">
        <f t="shared" si="2"/>
        <v>0</v>
      </c>
      <c r="G39" s="30">
        <f t="shared" si="2"/>
        <v>0</v>
      </c>
      <c r="H39" s="30">
        <f t="shared" si="2"/>
        <v>0</v>
      </c>
      <c r="I39" s="30">
        <f t="shared" si="2"/>
        <v>0</v>
      </c>
      <c r="J39" s="30">
        <f t="shared" si="2"/>
        <v>0</v>
      </c>
    </row>
    <row r="40" spans="1:11" ht="17.25" x14ac:dyDescent="0.3">
      <c r="B40" s="32" t="s">
        <v>28</v>
      </c>
      <c r="C40" s="30">
        <v>70</v>
      </c>
      <c r="D40" s="30">
        <v>30</v>
      </c>
      <c r="E40" s="30">
        <v>40</v>
      </c>
      <c r="F40" s="30"/>
      <c r="G40" s="30"/>
      <c r="H40" s="30"/>
      <c r="I40" s="30"/>
      <c r="J40" s="30"/>
    </row>
    <row r="41" spans="1:11" ht="17.25" x14ac:dyDescent="0.3">
      <c r="B41" s="32"/>
      <c r="C41" s="30"/>
      <c r="D41" s="30"/>
      <c r="E41" s="30"/>
      <c r="F41" s="30"/>
      <c r="G41" s="30"/>
      <c r="H41" s="30"/>
      <c r="I41" s="30"/>
      <c r="J41" s="30"/>
    </row>
    <row r="42" spans="1:11" ht="15.75" thickBot="1" x14ac:dyDescent="0.3">
      <c r="B42" s="32"/>
      <c r="C42" s="33"/>
      <c r="D42" s="33"/>
      <c r="E42" s="33"/>
      <c r="F42" s="33"/>
      <c r="G42" s="33"/>
      <c r="H42" s="33"/>
      <c r="I42" s="33"/>
      <c r="J42" s="33"/>
    </row>
    <row r="43" spans="1:11" ht="19.5" thickBot="1" x14ac:dyDescent="0.35">
      <c r="B43" s="32" t="s">
        <v>29</v>
      </c>
      <c r="C43" s="34">
        <f>C39*C40</f>
        <v>2310</v>
      </c>
      <c r="D43" s="34">
        <f>D39*D40</f>
        <v>390</v>
      </c>
      <c r="E43" s="34">
        <f>E39*E40</f>
        <v>0</v>
      </c>
      <c r="F43" s="34">
        <f t="shared" ref="F43:H43" si="3">F39*F40</f>
        <v>0</v>
      </c>
      <c r="G43" s="34">
        <f t="shared" si="3"/>
        <v>0</v>
      </c>
      <c r="H43" s="34">
        <f t="shared" si="3"/>
        <v>0</v>
      </c>
      <c r="I43" s="34">
        <f>I39*I40</f>
        <v>0</v>
      </c>
      <c r="J43" s="34">
        <f>J39*J40</f>
        <v>0</v>
      </c>
      <c r="K43" s="35">
        <f>SUM(C43:J43)</f>
        <v>2700</v>
      </c>
    </row>
    <row r="47" spans="1:11" ht="21" x14ac:dyDescent="0.35">
      <c r="B47" s="36" t="s">
        <v>30</v>
      </c>
      <c r="C47" s="37"/>
    </row>
    <row r="48" spans="1:11" ht="18.75" x14ac:dyDescent="0.3">
      <c r="C48" s="38" t="s">
        <v>12</v>
      </c>
      <c r="D48" s="39">
        <f>C39</f>
        <v>33</v>
      </c>
      <c r="G48" s="56"/>
    </row>
    <row r="49" spans="3:4" ht="18.75" x14ac:dyDescent="0.3">
      <c r="C49" s="38" t="s">
        <v>13</v>
      </c>
      <c r="D49" s="39">
        <f>D39</f>
        <v>13</v>
      </c>
    </row>
    <row r="50" spans="3:4" ht="18.75" x14ac:dyDescent="0.3">
      <c r="C50" s="38" t="s">
        <v>14</v>
      </c>
      <c r="D50" s="39">
        <f>E39</f>
        <v>0</v>
      </c>
    </row>
    <row r="51" spans="3:4" ht="18.75" x14ac:dyDescent="0.3">
      <c r="C51" s="38" t="s">
        <v>17</v>
      </c>
      <c r="D51" s="39">
        <f>I39</f>
        <v>0</v>
      </c>
    </row>
    <row r="52" spans="3:4" ht="18.75" x14ac:dyDescent="0.3">
      <c r="C52" s="38" t="s">
        <v>15</v>
      </c>
      <c r="D52" s="39">
        <f>F39</f>
        <v>0</v>
      </c>
    </row>
    <row r="53" spans="3:4" ht="18.75" x14ac:dyDescent="0.3">
      <c r="C53" s="38" t="s">
        <v>16</v>
      </c>
      <c r="D53" s="39">
        <f>G39</f>
        <v>0</v>
      </c>
    </row>
    <row r="54" spans="3:4" ht="21" x14ac:dyDescent="0.35">
      <c r="C54" s="57" t="s">
        <v>51</v>
      </c>
      <c r="D54" s="58">
        <f>H39</f>
        <v>0</v>
      </c>
    </row>
    <row r="55" spans="3:4" ht="18.75" x14ac:dyDescent="0.3">
      <c r="C55" s="38" t="s">
        <v>144</v>
      </c>
      <c r="D55" s="39">
        <f>J39</f>
        <v>0</v>
      </c>
    </row>
  </sheetData>
  <mergeCells count="6">
    <mergeCell ref="A34:A36"/>
    <mergeCell ref="A1:J1"/>
    <mergeCell ref="A2:J2"/>
    <mergeCell ref="A4:A6"/>
    <mergeCell ref="A31:J31"/>
    <mergeCell ref="A32:J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KJ GARMENT ORDER</vt:lpstr>
      <vt:lpstr>KJ PRODUCTION</vt:lpstr>
      <vt:lpstr>GGZ-GARMENT ORDER</vt:lpstr>
      <vt:lpstr>GGZ-PRODUCTION</vt:lpstr>
      <vt:lpstr>NIPAL GARMENT ORDER</vt:lpstr>
      <vt:lpstr>NIPAL PRODUCTION</vt:lpstr>
      <vt:lpstr>RICANO-GARMENT ORDER</vt:lpstr>
      <vt:lpstr>RICANO PRODUCTION</vt:lpstr>
      <vt:lpstr>JP-GARMENT ORDER-1</vt:lpstr>
      <vt:lpstr>JP-GARMENT ORDER-2</vt:lpstr>
      <vt:lpstr>JP-PRODUCTION</vt:lpstr>
      <vt:lpstr>NIPAL-NEW GARMENT ORDER</vt:lpstr>
      <vt:lpstr>NIPAL-NEW PRODUCTION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head user</cp:lastModifiedBy>
  <dcterms:created xsi:type="dcterms:W3CDTF">2026-05-22T12:22:41Z</dcterms:created>
  <dcterms:modified xsi:type="dcterms:W3CDTF">2026-09-12T13:35:21Z</dcterms:modified>
</cp:coreProperties>
</file>